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Test Cases" sheetId="2" r:id="rId5"/>
    <sheet state="visible" name="Bug Report" sheetId="3" r:id="rId6"/>
    <sheet state="visible" name="Read Me &amp; Summary" sheetId="4" r:id="rId7"/>
  </sheets>
  <definedNames>
    <definedName hidden="1" localSheetId="0" name="_xlnm._FilterDatabase">'Test Scenarios'!$A$1:$G$19</definedName>
    <definedName hidden="1" localSheetId="1" name="_xlnm._FilterDatabase">'Test Cases'!$A$1:$Q$118</definedName>
    <definedName hidden="1" localSheetId="2" name="_xlnm._FilterDatabase">'Bug Report'!$A$1:$T$61</definedName>
  </definedNames>
  <calcPr/>
  <extLst>
    <ext uri="GoogleSheetsCustomDataVersion2">
      <go:sheetsCustomData xmlns:go="http://customooxmlschemas.google.com/" r:id="rId8" roundtripDataChecksum="oPTaLBVjXqSIMy7GtgD180CZxxEGYinjgI02DkAzMzM="/>
    </ext>
  </extLst>
</workbook>
</file>

<file path=xl/sharedStrings.xml><?xml version="1.0" encoding="utf-8"?>
<sst xmlns="http://schemas.openxmlformats.org/spreadsheetml/2006/main" count="1998" uniqueCount="845">
  <si>
    <t>Scenario ID</t>
  </si>
  <si>
    <t>Test Case ID</t>
  </si>
  <si>
    <t>Priority</t>
  </si>
  <si>
    <t>Module</t>
  </si>
  <si>
    <t>PRD Ref</t>
  </si>
  <si>
    <t>Test Scenario</t>
  </si>
  <si>
    <t>Bug ID</t>
  </si>
  <si>
    <t>Why It Ranks Here</t>
  </si>
  <si>
    <t>No. of Test Cases</t>
  </si>
  <si>
    <t>Bug Title</t>
  </si>
  <si>
    <t>Voltcart Test Documentation</t>
  </si>
  <si>
    <t>TS-01</t>
  </si>
  <si>
    <t>Related Test Case ID</t>
  </si>
  <si>
    <t>Test Case Title</t>
  </si>
  <si>
    <t>Type</t>
  </si>
  <si>
    <t>Critical</t>
  </si>
  <si>
    <t>Preconditions</t>
  </si>
  <si>
    <t>Product</t>
  </si>
  <si>
    <t>Checkout</t>
  </si>
  <si>
    <t>Test Steps</t>
  </si>
  <si>
    <t>Test Data</t>
  </si>
  <si>
    <t>Severity</t>
  </si>
  <si>
    <t>Expected Result</t>
  </si>
  <si>
    <t>Actual Result</t>
  </si>
  <si>
    <t>Voltcart gadget store. Source of truth: Voltcart PRD v1.0 (FR-01 to FR-14 plus non-functional expectations).</t>
  </si>
  <si>
    <t>FR-12</t>
  </si>
  <si>
    <t>Status</t>
  </si>
  <si>
    <t>Verify checkout accepts only valid recipient, phone, address and payment details, and blocks invalid input</t>
  </si>
  <si>
    <t>Last step before money changes hands; bad validation means bad or undeliverable orders</t>
  </si>
  <si>
    <t>Environment (Browser / OS / Version)</t>
  </si>
  <si>
    <t>Tested By</t>
  </si>
  <si>
    <t>Steps to Reproduce</t>
  </si>
  <si>
    <t>Date Tested</t>
  </si>
  <si>
    <t>Remarks</t>
  </si>
  <si>
    <t>Evidence (Screenshot / Video Link)</t>
  </si>
  <si>
    <t>TC-001</t>
  </si>
  <si>
    <t>Tabs</t>
  </si>
  <si>
    <t>Reported By</t>
  </si>
  <si>
    <t>Date Reported</t>
  </si>
  <si>
    <t>Test Scenarios (ranked by importance) &gt; Test Cases (linked by Scenario ID) &gt; Bug Report (blank log).</t>
  </si>
  <si>
    <t>Assigned To</t>
  </si>
  <si>
    <t>Retest Result</t>
  </si>
  <si>
    <t>Execution summary (updates live)</t>
  </si>
  <si>
    <t>Date Closed</t>
  </si>
  <si>
    <t>Total test cases</t>
  </si>
  <si>
    <t>BUG-001</t>
  </si>
  <si>
    <t>Checkout accepts phone numbers longer than 11 digits with no validation error</t>
  </si>
  <si>
    <t>Place order with all valid details</t>
  </si>
  <si>
    <t>Positive</t>
  </si>
  <si>
    <t xml:space="preserve">       TC-008</t>
  </si>
  <si>
    <t>App open in a fresh browser session (localStorage cleared). Test account already registered.</t>
  </si>
  <si>
    <t>1. Log in with the test account
2. Add Tecno Spark 20 to the cart
3. Open Cart and click 'Go to checkout'
4. Enter valid recipient, phone, address
5. Select payment method Card
6. Click 'Place order'</t>
  </si>
  <si>
    <t>Test account: Test User / testuser1@example.com / Passw0rd123 | Recipient: Ade Bello | Phone: 08012345678 | Address: 12 Unity Road, Ilorin | Payment: Card</t>
  </si>
  <si>
    <t>Order is placed and the confirmation screen is shown with an order number.</t>
  </si>
  <si>
    <t>Major</t>
  </si>
  <si>
    <t>High</t>
  </si>
  <si>
    <t>New</t>
  </si>
  <si>
    <t>TS-02</t>
  </si>
  <si>
    <t>Google Chrome Browser</t>
  </si>
  <si>
    <t>Pass</t>
  </si>
  <si>
    <t>Logged in with items in cart</t>
  </si>
  <si>
    <t>Order Confirmation</t>
  </si>
  <si>
    <t>FR-13</t>
  </si>
  <si>
    <t>Go to checkout &gt; enter a phone number of 12 digits (e.g. 080123456789) &gt; fill other fields validly &gt; click "Place order</t>
  </si>
  <si>
    <t>Verify placing an order creates a unique order number, shows correct confirmation and resets cart and coupon</t>
  </si>
  <si>
    <t>Order is not placed. Error states the phone must be exactly 11 digits.</t>
  </si>
  <si>
    <t>Proves the purchase actually completed and state is clean afterwards</t>
  </si>
  <si>
    <t>A phone number longer than 11 digits is accepted with no error shown.</t>
  </si>
  <si>
    <t>TS-03</t>
  </si>
  <si>
    <t>Order Total</t>
  </si>
  <si>
    <t>FR-08</t>
  </si>
  <si>
    <t>Verify total = subtotal + delivery - discount everywhere it is shown</t>
  </si>
  <si>
    <t>28/09/2026</t>
  </si>
  <si>
    <t>Wrong money amounts directly hurt customers and the business</t>
  </si>
  <si>
    <t>Not Run</t>
  </si>
  <si>
    <t>Olayemi</t>
  </si>
  <si>
    <t>TC-002</t>
  </si>
  <si>
    <t>TS-04</t>
  </si>
  <si>
    <t>Cart</t>
  </si>
  <si>
    <t>FR-05</t>
  </si>
  <si>
    <t>Verify items can be added, edited and removed, and quantity rules and stock limits are enforced</t>
  </si>
  <si>
    <t>Core purchase path; stock and quantity errors cause oversell and wrong totals</t>
  </si>
  <si>
    <t>BUG-002</t>
  </si>
  <si>
    <t>Checkout accepts letters in the phone number field</t>
  </si>
  <si>
    <t>TC-009</t>
  </si>
  <si>
    <t>TS-05</t>
  </si>
  <si>
    <t>Submit with all checkout fields empty</t>
  </si>
  <si>
    <t>Coupons</t>
  </si>
  <si>
    <t>FR-06</t>
  </si>
  <si>
    <t>Negative</t>
  </si>
  <si>
    <t>Verify valid coupons apply the correct discount, invalid ones are rejected and discounts never stack</t>
  </si>
  <si>
    <t>App open in a fresh browser session (localStorage cleared). Logged in with items in cart.</t>
  </si>
  <si>
    <t>Discount logic is a common source of revenue loss</t>
  </si>
  <si>
    <t>1. Log in with the test account
2. Add Tecno Spark 20 to the cart
3. Open Cart and click 'Go to checkout'
4. Leave every field empty
5. Click 'Place order'</t>
  </si>
  <si>
    <t>All fields empty</t>
  </si>
  <si>
    <t>Go to checkout &gt; enter phone number 0801234abcd (11 characters, contains letters) &gt; fill other fields validly &gt; click "Place order"</t>
  </si>
  <si>
    <t>Order is not placed. Letters are rejected; error says digits only.</t>
  </si>
  <si>
    <t>Order is not placed. A visible, specific error message is shown.</t>
  </si>
  <si>
    <t>Order is placed. Letters are accepted in the phone field with no error shown.</t>
  </si>
  <si>
    <t>TS-06</t>
  </si>
  <si>
    <t>Delivery Fee</t>
  </si>
  <si>
    <t>FR-07</t>
  </si>
  <si>
    <t>Verify the 2,000 delivery fee and the 500,000 free-delivery threshold, including the boundary</t>
  </si>
  <si>
    <t>Boundary rule with direct money impact</t>
  </si>
  <si>
    <t>BUG-003</t>
  </si>
  <si>
    <t>Checkout accepts symbols and more than 11 characters in the phone number</t>
  </si>
  <si>
    <t>TC-003</t>
  </si>
  <si>
    <t>Fail</t>
  </si>
  <si>
    <t xml:space="preserve">       TC-010</t>
  </si>
  <si>
    <t>Recipient name left empty</t>
  </si>
  <si>
    <t>TS-07</t>
  </si>
  <si>
    <t>Registration</t>
  </si>
  <si>
    <t>Go to checkout &gt; enter phone number +2348012345 (contains a symbol, 11 characters) &gt; fill other fields validly &gt; click "Place order"</t>
  </si>
  <si>
    <t>FR-09</t>
  </si>
  <si>
    <t>Symbols are rejected; error says digits only.</t>
  </si>
  <si>
    <t>1. Log in with the test account
2. Add Tecno Spark 20 to the cart
3. Open Cart and click 'Go to checkout'
4. Leave Recipient name empty; fill other fields validly
5. Click 'Place order'</t>
  </si>
  <si>
    <t>Verify account creation rules for name, email, password and duplicate accounts</t>
  </si>
  <si>
    <t>Order is placed. Symbols are accepted, with no error shown.</t>
  </si>
  <si>
    <t>Recipient: (empty) | Phone: 08012345678 | Address: 12 Unity Road, Ilorin | Payment: Card</t>
  </si>
  <si>
    <t>Gate to checkout; weak validation lets bad data in</t>
  </si>
  <si>
    <t>Order is not placed. Error tells the customer to enter the recipient name.</t>
  </si>
  <si>
    <t>Blocked</t>
  </si>
  <si>
    <t>BUG-004</t>
  </si>
  <si>
    <t>TC-004</t>
  </si>
  <si>
    <t>TS-08</t>
  </si>
  <si>
    <t>Login</t>
  </si>
  <si>
    <t>FR-10</t>
  </si>
  <si>
    <t>Verify valid login works and failures show one generic error</t>
  </si>
  <si>
    <t>Gate to checkout; also a security expectation</t>
  </si>
  <si>
    <t>Phone number left empty</t>
  </si>
  <si>
    <t>Skipped</t>
  </si>
  <si>
    <t>1. Log in with the test account
2. Add Tecno Spark 20 to the cart
3. Open Cart and click 'Go to checkout'
4. Leave Phone empty; fill other fields validly
5. Click 'Place order'</t>
  </si>
  <si>
    <t>TS-09</t>
  </si>
  <si>
    <t>Phone: (empty)</t>
  </si>
  <si>
    <t>Order is not placed. Error tells the customer to enter a phone number.</t>
  </si>
  <si>
    <t>Session</t>
  </si>
  <si>
    <t>BUG-005</t>
  </si>
  <si>
    <t>FR-11</t>
  </si>
  <si>
    <t>Verify login state, logout, and that guests are blocked from checkout</t>
  </si>
  <si>
    <t>Controls who can buy and see personal data</t>
  </si>
  <si>
    <t>TC-005</t>
  </si>
  <si>
    <t>Pass rate (of executed cases)</t>
  </si>
  <si>
    <t>TS-10</t>
  </si>
  <si>
    <t>Order History</t>
  </si>
  <si>
    <t>FR-14</t>
  </si>
  <si>
    <t>BUG-006</t>
  </si>
  <si>
    <t>Verify customers see only their own orders, newest first, with complete details</t>
  </si>
  <si>
    <t>Privacy (data separation) and customer trust</t>
  </si>
  <si>
    <t>Phone with 10 digits (one below required length)</t>
  </si>
  <si>
    <t>Boundary</t>
  </si>
  <si>
    <t>1. Log in with the test account
2. Add Tecno Spark 20 to the cart
3. Open Cart and click 'Go to checkout'
4. Enter a 10-digit phone number; fill other fields validly
5. Click 'Place order'</t>
  </si>
  <si>
    <t>Phone: 0801234567</t>
  </si>
  <si>
    <t>TS-11</t>
  </si>
  <si>
    <t>Medium</t>
  </si>
  <si>
    <t>Product Catalog</t>
  </si>
  <si>
    <t>BUG-007</t>
  </si>
  <si>
    <t>FR-01</t>
  </si>
  <si>
    <t>Verify catalog displays all products with correct details, price format and out-of-stock handling</t>
  </si>
  <si>
    <t>Entry point of the shopping journey</t>
  </si>
  <si>
    <t>TC-006</t>
  </si>
  <si>
    <t>BUG-008</t>
  </si>
  <si>
    <t>Phone with exactly 11 digits</t>
  </si>
  <si>
    <t>TS-12</t>
  </si>
  <si>
    <t>Search</t>
  </si>
  <si>
    <t>FR-02</t>
  </si>
  <si>
    <t>Verify search is case-insensitive, supports partial names and handles no results</t>
  </si>
  <si>
    <t>Main way customers find products</t>
  </si>
  <si>
    <t>1. Log in with the test account
2. Add Tecno Spark 20 to the cart
3. Open Cart and click 'Go to checkout'
4. Enter an 11-digit phone number; fill other fields validly
5. Click 'Place order'</t>
  </si>
  <si>
    <t>Phone: 08012345678</t>
  </si>
  <si>
    <t>Phone is accepted and the order is placed.</t>
  </si>
  <si>
    <t>BUG-009</t>
  </si>
  <si>
    <t>TC-007</t>
  </si>
  <si>
    <t>TS-13</t>
  </si>
  <si>
    <t>Sort</t>
  </si>
  <si>
    <t>FR-04</t>
  </si>
  <si>
    <t>Verify price sorting orders numerically in both directions</t>
  </si>
  <si>
    <t>Wrong ordering misleads price-driven buyers</t>
  </si>
  <si>
    <t>BUG-010</t>
  </si>
  <si>
    <t>Phone with 12 digits (one above required length)</t>
  </si>
  <si>
    <t>1. Log in with the test account
2. Add Tecno Spark 20 to the cart
3. Open Cart and click 'Go to checkout'
4. Enter a 12-digit phone number; fill other fields validly
5. Click 'Place order'</t>
  </si>
  <si>
    <t>Phone: 080123456789</t>
  </si>
  <si>
    <t>Order is placed,more than 11 didgit phone number is accepted  no error is stated</t>
  </si>
  <si>
    <t>BUG-011</t>
  </si>
  <si>
    <t>TC-008</t>
  </si>
  <si>
    <t>Bugs logged</t>
  </si>
  <si>
    <t>BUG-012</t>
  </si>
  <si>
    <t>Phone containing letters (11 characters)</t>
  </si>
  <si>
    <t>1. Log in with the test account
2. Add Tecno Spark 20 to the cart
3. Open Cart and click 'Go to checkout'
4. Enter an 11-character phone containing letters; fill other fields validly
5. Click 'Place order'</t>
  </si>
  <si>
    <t>Phone: 0801234abcd</t>
  </si>
  <si>
    <t>Order is placed, letters are accepted,no error is stated</t>
  </si>
  <si>
    <t>BUG-013</t>
  </si>
  <si>
    <t xml:space="preserve">  BUG-002</t>
  </si>
  <si>
    <t>TS-14</t>
  </si>
  <si>
    <t>Bugs still open</t>
  </si>
  <si>
    <t>Category Filter</t>
  </si>
  <si>
    <t>FR-03</t>
  </si>
  <si>
    <t>Verify category filter lists all categories and shows only matching products</t>
  </si>
  <si>
    <t>BUG-014</t>
  </si>
  <si>
    <t>Supports product discovery</t>
  </si>
  <si>
    <t>Phone containing symbols (11 characters)</t>
  </si>
  <si>
    <t>1. Log in with the test account
2. Add Tecno Spark 20 to the cart
3. Open Cart and click 'Go to checkout'
4. Enter an 11-character phone containing a + and symbols; fill other fields validly
5. Click 'Place order'</t>
  </si>
  <si>
    <t>Phone: +2348012345</t>
  </si>
  <si>
    <t>TS-15</t>
  </si>
  <si>
    <t>Data Persistence</t>
  </si>
  <si>
    <t>Order is not placed. Symbols are rejected; error says digits only.</t>
  </si>
  <si>
    <t>NFR (Sec. 5)</t>
  </si>
  <si>
    <t xml:space="preserve">Order is placed, symbols are accepted ,  no error is stated </t>
  </si>
  <si>
    <t>Verify cart, session and orders survive a page refresh and are scoped to one browser</t>
  </si>
  <si>
    <t>Lost carts and sessions frustrate customers</t>
  </si>
  <si>
    <t>BUG-015</t>
  </si>
  <si>
    <t xml:space="preserve">  BUG-003</t>
  </si>
  <si>
    <t>TC-010</t>
  </si>
  <si>
    <t>TS-16</t>
  </si>
  <si>
    <t>Severity (impact on the product)</t>
  </si>
  <si>
    <t>Validation Feedback</t>
  </si>
  <si>
    <t>Verify no form fails silently on invalid input</t>
  </si>
  <si>
    <t>Blocks a core journey or causes wrong money amounts or data loss (e.g. cannot place order, wrong total).</t>
  </si>
  <si>
    <t>Users must always know what went wrong</t>
  </si>
  <si>
    <t>BUG-016</t>
  </si>
  <si>
    <t>Important feature works incorrectly but a workaround exists.</t>
  </si>
  <si>
    <t>Minor</t>
  </si>
  <si>
    <t>Small functional or validation issue with low business impact.</t>
  </si>
  <si>
    <t>Trivial</t>
  </si>
  <si>
    <t>Cosmetic issue (spelling, alignment, styling).</t>
  </si>
  <si>
    <t>Priority (urgency to fix)</t>
  </si>
  <si>
    <t>Delivery address left empty</t>
  </si>
  <si>
    <t>TS-17</t>
  </si>
  <si>
    <t>Fix immediately, before release.</t>
  </si>
  <si>
    <t>Low</t>
  </si>
  <si>
    <t>Accessibility</t>
  </si>
  <si>
    <t>1. Log in with the test account
2. Add Tecno Spark 20 to the cart
3. Open Cart and click 'Go to checkout'
4. Leave Address empty; fill other fields validly
5. Click 'Place order'</t>
  </si>
  <si>
    <t>Fix in the current cycle.</t>
  </si>
  <si>
    <t>Verify the store is operable by keyboard with visible focus</t>
  </si>
  <si>
    <t>Address: (empty)</t>
  </si>
  <si>
    <t>Inclusive use of the product</t>
  </si>
  <si>
    <t>Order is not placed. Error tells the customer to enter a delivery address.</t>
  </si>
  <si>
    <t>Fix when time allows.</t>
  </si>
  <si>
    <t>BUG-017</t>
  </si>
  <si>
    <t>Environment tip</t>
  </si>
  <si>
    <t>Always record browser name and version, OS, and screen size in the Bug Report Environment column.</t>
  </si>
  <si>
    <t>TS-18</t>
  </si>
  <si>
    <t>Responsive Layout</t>
  </si>
  <si>
    <t>TC-011</t>
  </si>
  <si>
    <t>Verify layout works down to small mobile widths without horizontal scroll</t>
  </si>
  <si>
    <t>Many customers shop on phones</t>
  </si>
  <si>
    <t>Delivery address with spaces only</t>
  </si>
  <si>
    <t>1. Log in with the test account
2. Add Tecno Spark 20 to the cart
3. Open Cart and click 'Go to checkout'
4. Enter only spaces in Address; fill other fields validly
5. Click 'Place order'</t>
  </si>
  <si>
    <t>Address: 5 spaces</t>
  </si>
  <si>
    <t>Order is not placed. Whitespace-only address is rejected.</t>
  </si>
  <si>
    <t>BUG-018</t>
  </si>
  <si>
    <t>TC-012</t>
  </si>
  <si>
    <t>BUG-019</t>
  </si>
  <si>
    <t>Delivery address below the minimum length</t>
  </si>
  <si>
    <t>1. Log in with the test account
2. Add Tecno Spark 20 to the cart
3. Open Cart and click 'Go to checkout'
4. Enter a very short address; fill other fields validly
5. Click 'Place order'</t>
  </si>
  <si>
    <t>Address: abc</t>
  </si>
  <si>
    <t>Order is not placed. Error asks for a full delivery address.</t>
  </si>
  <si>
    <t>BUG-020</t>
  </si>
  <si>
    <t>29/09/2026</t>
  </si>
  <si>
    <t>TC-013</t>
  </si>
  <si>
    <t>No payment method selected</t>
  </si>
  <si>
    <t>BUG-021</t>
  </si>
  <si>
    <t>1. Log in with the test account
2. Add Tecno Spark 20 to the cart
3. Open Cart and click 'Go to checkout'
4. Fill all fields validly
5. Leave Payment method on 'Select'
6. Click 'Place order'</t>
  </si>
  <si>
    <t>Payment: (not selected)</t>
  </si>
  <si>
    <t>Order is not placed. Error tells the customer to select a payment method.</t>
  </si>
  <si>
    <t>TC-014</t>
  </si>
  <si>
    <t>BUG-022</t>
  </si>
  <si>
    <t>Order can be placed with each payment method</t>
  </si>
  <si>
    <t>App open in a fresh browser session (localStorage cleared). Logged in.</t>
  </si>
  <si>
    <t>1. Log in with the test account
2. Add an item, go to checkout, fill valid details, choose Card, place order
3. Repeat with Bank transfer
4. Repeat with Pay on delivery</t>
  </si>
  <si>
    <t>Recipient: Ade Bello | Phone: 08012345678 | Address: 12 Unity Road, Ilorin | Payment: each of: Card, Bank transfer, Pay on delivery</t>
  </si>
  <si>
    <t>BUG-023</t>
  </si>
  <si>
    <t>All three methods result in a placed order. Order history shows the chosen method for each.</t>
  </si>
  <si>
    <t>TC-015</t>
  </si>
  <si>
    <t>Total at checkout equals cart total</t>
  </si>
  <si>
    <t>BUG-024</t>
  </si>
  <si>
    <t>1. Log in with the test account
2. Add Tecno Spark 20 x1 and Anker 20W Charger x2
3. Note the cart Total
4. Click 'Go to checkout' and note the amount to pay</t>
  </si>
  <si>
    <t>Items: Tecno Spark 20 x1, Anker 20W Charger x2</t>
  </si>
  <si>
    <t>Amount to pay at checkout equals the cart Total exactly.</t>
  </si>
  <si>
    <t>TC-016</t>
  </si>
  <si>
    <t>BUG-025</t>
  </si>
  <si>
    <t>Confirmation shows order number and total paid</t>
  </si>
  <si>
    <t>1. Log in with the test account
2. Add Tecno Spark 20 to the cart
3. Open Cart and click 'Go to checkout'
4. Enter valid details and place the order</t>
  </si>
  <si>
    <t>Recipient: Ade Bello | Phone: 08012345678 | Address: 12 Unity Road, Ilorin | Payment: Card</t>
  </si>
  <si>
    <t>Confirmation shows a generated order number and the total paid.</t>
  </si>
  <si>
    <t>TC-017</t>
  </si>
  <si>
    <t>BUG-026</t>
  </si>
  <si>
    <t>Cart is cleared after placing an order</t>
  </si>
  <si>
    <t>1. Log in with the test account
2. Add Tecno Spark 20 to the cart
3. Open Cart and click 'Go to checkout'
4. Enter valid details and place the order
5. Check the cart count in the header
6. Open Cart</t>
  </si>
  <si>
    <t>Cart count shows 0 and the Cart page shows the empty-cart message.</t>
  </si>
  <si>
    <t>BUG-027</t>
  </si>
  <si>
    <t>TC-018</t>
  </si>
  <si>
    <t>Applied coupon is cleared after placing an order</t>
  </si>
  <si>
    <t>BUG-028</t>
  </si>
  <si>
    <t>1. Log in with the test account
2. Add Tecno Spark 20, apply coupon SAVE10 in Cart
3. Go to checkout and place an order with valid details
4. Add Tecno Spark 20 to the cart again and open Cart</t>
  </si>
  <si>
    <t>Coupon: SAVE10 | Recipient: Ade Bello | Phone: 08012345678 | Address: 12 Unity Road, Ilorin | Payment: Card</t>
  </si>
  <si>
    <t>The new cart shows no coupon applied and no discount.</t>
  </si>
  <si>
    <t>TC-019</t>
  </si>
  <si>
    <t>BUG-029</t>
  </si>
  <si>
    <t>Order numbers are unique across orders</t>
  </si>
  <si>
    <t>1. Log in with the test account
2. Place one order and note the order number
3. Place a second order and note the order number</t>
  </si>
  <si>
    <t>The two order numbers are different.</t>
  </si>
  <si>
    <t>TC-020</t>
  </si>
  <si>
    <t>BUG-030</t>
  </si>
  <si>
    <t>Total paid on confirmation matches checkout total</t>
  </si>
  <si>
    <t>1. Log in with the test account
2. Add Tecno Spark 20 x1, go to checkout and note the amount to pay
3. Place the order and read the total on the confirmation screen</t>
  </si>
  <si>
    <t>Total paid on confirmation equals the amount shown at checkout.</t>
  </si>
  <si>
    <t>BUG-031</t>
  </si>
  <si>
    <t>TC-021</t>
  </si>
  <si>
    <t>Double-click 'Place order'</t>
  </si>
  <si>
    <t>1. Log in with the test account
2. Add Tecno Spark 20 to the cart
3. Open Cart and click 'Go to checkout'
4. Fill valid details
5. Double-click 'Place order' quickly
6. Open Orders</t>
  </si>
  <si>
    <t>BUG-032</t>
  </si>
  <si>
    <t>Only one order is created for the cart.</t>
  </si>
  <si>
    <t>Implied by FR-13 (unique order number, cart cleared). Confirm intent if the result is unclear.</t>
  </si>
  <si>
    <t>TC-022</t>
  </si>
  <si>
    <t>BUG-033</t>
  </si>
  <si>
    <t>Total for a single item below the free-delivery threshold</t>
  </si>
  <si>
    <t>App open in a fresh browser session (localStorage cleared).</t>
  </si>
  <si>
    <t>1. Add Tecno Spark 20 x1 to the cart
2. Open Cart and read Subtotal, Delivery, Discount, Total</t>
  </si>
  <si>
    <t>Tecno Spark 20 = 145,000</t>
  </si>
  <si>
    <t>Subtotal 145,000 | Delivery 2,000 | Discount 0 | Total 147,000.</t>
  </si>
  <si>
    <t>TC-023</t>
  </si>
  <si>
    <t>BUG-034</t>
  </si>
  <si>
    <t>Total for multiple items</t>
  </si>
  <si>
    <t>1. Add Tecno Spark 20 x1
2. Add Anker 20W Charger x2
3. Open Cart and read the totals</t>
  </si>
  <si>
    <t>145,000 + (2 x 12,500)</t>
  </si>
  <si>
    <t>Subtotal 170,000 | Delivery 2,000 | Total 172,000.</t>
  </si>
  <si>
    <t>BUG-035</t>
  </si>
  <si>
    <t>TC-024</t>
  </si>
  <si>
    <t>Total with a coupon applied</t>
  </si>
  <si>
    <t>BUG-036</t>
  </si>
  <si>
    <t>1. Add Tecno Spark 20 x1 and Anker 20W Charger x2
2. Open Cart and apply coupon SAVE10
3. Read the totals</t>
  </si>
  <si>
    <t>Subtotal 170,000 | Coupon SAVE10</t>
  </si>
  <si>
    <t>Discount 17,000 | Delivery 2,000 | Total 155,000.</t>
  </si>
  <si>
    <t>TC-025</t>
  </si>
  <si>
    <t>BUG-037</t>
  </si>
  <si>
    <t>Total updates when quantity changes</t>
  </si>
  <si>
    <t>1. Add Tecno Spark 20 x1
2. Open Cart and change quantity to 3
3. Read the totals</t>
  </si>
  <si>
    <t>Quantity 1 to 3</t>
  </si>
  <si>
    <t>Subtotal 435,000 | Delivery 2,000 | Total 437,000.</t>
  </si>
  <si>
    <t>BUG-038</t>
  </si>
  <si>
    <t>TC-026</t>
  </si>
  <si>
    <t>BUG-039</t>
  </si>
  <si>
    <t>Total updates when an item is removed</t>
  </si>
  <si>
    <t>1. Add Tecno Spark 20 x1 and Anker 20W Charger x2
2. Open Cart and remove the Anker charger
3. Read the totals</t>
  </si>
  <si>
    <t>Remove Anker 20W Charger</t>
  </si>
  <si>
    <t>Subtotal 145,000 | Delivery 2,000 | Total 147,000.</t>
  </si>
  <si>
    <t>BUG-040</t>
  </si>
  <si>
    <t>TC-027</t>
  </si>
  <si>
    <t>Total is identical in cart, checkout and confirmation</t>
  </si>
  <si>
    <t>BUG-041</t>
  </si>
  <si>
    <t>1. Log in with the test account
2. Add Tecno Spark 20 x1 and Anker 20W Charger x2 and apply SAVE10
3. Compare Total in Cart, amount at checkout, and Total paid on confirmation</t>
  </si>
  <si>
    <t>All three screens show the same amount.</t>
  </si>
  <si>
    <t>BUG-042</t>
  </si>
  <si>
    <t>TC-028</t>
  </si>
  <si>
    <t>BUG-043</t>
  </si>
  <si>
    <t>Add an in-stock product to the cart</t>
  </si>
  <si>
    <t>1. Click 'Add to cart' on Tecno Spark 20</t>
  </si>
  <si>
    <t>Tecno Spark 20</t>
  </si>
  <si>
    <t>Product is added; header cart count is 1; a line appears in Cart.</t>
  </si>
  <si>
    <t>BUG-044</t>
  </si>
  <si>
    <t>TC-029</t>
  </si>
  <si>
    <t>Add the same product twice increments quantity</t>
  </si>
  <si>
    <t>BUG-045</t>
  </si>
  <si>
    <t>1. Click 'Add to cart' on Tecno Spark 20 twice
2. Open Cart</t>
  </si>
  <si>
    <t>One cart line with quantity 2 (not two separate lines).</t>
  </si>
  <si>
    <t>TC-030</t>
  </si>
  <si>
    <t>Add different products</t>
  </si>
  <si>
    <t>BUG-046</t>
  </si>
  <si>
    <t>1. Add Tecno Spark 20
2. Add JBL Flip 6 Speaker
3. Open Cart</t>
  </si>
  <si>
    <t>Two different products</t>
  </si>
  <si>
    <t>Two separate lines; header count is 2.</t>
  </si>
  <si>
    <t>TC-031</t>
  </si>
  <si>
    <t>BUG-047</t>
  </si>
  <si>
    <t>Quantity equal to available stock</t>
  </si>
  <si>
    <t>BUG-048</t>
  </si>
  <si>
    <t>1. Add JBL Flip 6 Speaker to the cart
2. Open Cart and set quantity to 7</t>
  </si>
  <si>
    <t>JBL Flip 6 stock: 7 | Quantity: 7</t>
  </si>
  <si>
    <t>Quantity 7 is accepted.</t>
  </si>
  <si>
    <t>TC-032</t>
  </si>
  <si>
    <t>BUG-049</t>
  </si>
  <si>
    <t>Quantity one above available stock</t>
  </si>
  <si>
    <t>1. Add JBL Flip 6 Speaker to the cart
2. Open Cart and set quantity to 8</t>
  </si>
  <si>
    <t>JBL Flip 6 stock: 7 | Quantity: 8</t>
  </si>
  <si>
    <t>Quantity 8 is rejected or capped at stock; a message explains why.</t>
  </si>
  <si>
    <t>Quantity 8 is accepted,no error message</t>
  </si>
  <si>
    <t>BUG-050</t>
  </si>
  <si>
    <t xml:space="preserve">  BUG-004</t>
  </si>
  <si>
    <t>TC-033</t>
  </si>
  <si>
    <t>BUG-051</t>
  </si>
  <si>
    <t>Add to cart repeatedly beyond available stock</t>
  </si>
  <si>
    <t>1. Click 'Add to cart' on Lenovo ThinkPad E14 three times
2. Open Cart</t>
  </si>
  <si>
    <t>ThinkPad E14 stock: 2</t>
  </si>
  <si>
    <t>Cart never holds more than 2; the third add is blocked with a clear message.</t>
  </si>
  <si>
    <t>Cart holds more than 2; the third add is not blocked and no clear message.</t>
  </si>
  <si>
    <t xml:space="preserve">  BUG-005</t>
  </si>
  <si>
    <t>BUG-052</t>
  </si>
  <si>
    <t>TC-034</t>
  </si>
  <si>
    <t>Quantity set to 0</t>
  </si>
  <si>
    <t>1. Add Tecno Spark 20
2. Open Cart and set quantity to 0</t>
  </si>
  <si>
    <t>Quantity: 0</t>
  </si>
  <si>
    <t>BUG-053</t>
  </si>
  <si>
    <t>Value is rejected. Quantity stays at 1 or more.</t>
  </si>
  <si>
    <t>0 Value is not  rejected.</t>
  </si>
  <si>
    <t xml:space="preserve">  BUG-006</t>
  </si>
  <si>
    <t>TC-035</t>
  </si>
  <si>
    <t>Quantity set to a negative number</t>
  </si>
  <si>
    <t>BUG-054</t>
  </si>
  <si>
    <t>1. Add Tecno Spark 20
2. Open Cart and set quantity to -1</t>
  </si>
  <si>
    <t>Quantity: -1</t>
  </si>
  <si>
    <t>Value is rejected. Line total and Subtotal are never negative.</t>
  </si>
  <si>
    <t>negative Value is accepted. Line total and Subtotal are negative.</t>
  </si>
  <si>
    <t xml:space="preserve">  BUG-007</t>
  </si>
  <si>
    <t>TC-036</t>
  </si>
  <si>
    <t>BUG-055</t>
  </si>
  <si>
    <t>Quantity set to a decimal</t>
  </si>
  <si>
    <t>1. Add Tecno Spark 20
2. Open Cart and set quantity to 1.5</t>
  </si>
  <si>
    <t>Quantity: 1.5</t>
  </si>
  <si>
    <t>Value is rejected; only whole numbers are accepted.</t>
  </si>
  <si>
    <t>TC-037</t>
  </si>
  <si>
    <t>BUG-056</t>
  </si>
  <si>
    <t>BUG-057</t>
  </si>
  <si>
    <t>Quantity field cleared or non-numeric</t>
  </si>
  <si>
    <t>1. Add Tecno Spark 20
2. Open Cart, clear the quantity field, then try typing letters</t>
  </si>
  <si>
    <t>Quantity: (empty) / abc</t>
  </si>
  <si>
    <t>BUG-058</t>
  </si>
  <si>
    <t>Value is rejected; quantity stays a whole number of 1 or more.</t>
  </si>
  <si>
    <t>Value is blocked/rejected; quantity stays a whole number of 1 or more.</t>
  </si>
  <si>
    <t>TC-038</t>
  </si>
  <si>
    <t>BUG-059</t>
  </si>
  <si>
    <t>Editing quantity updates the line total</t>
  </si>
  <si>
    <t>1. Add Anker 20W Charger
2. Open Cart and set quantity to 4</t>
  </si>
  <si>
    <t>12,500 x 4</t>
  </si>
  <si>
    <t>Line total shows 50,000.</t>
  </si>
  <si>
    <t>BUG-060</t>
  </si>
  <si>
    <t>TC-039</t>
  </si>
  <si>
    <t>Remove an item from the cart</t>
  </si>
  <si>
    <t>1. Add Tecno Spark 20 and JBL Flip 6 Speaker
2. Open Cart and click Remove on Tecno Spark 20</t>
  </si>
  <si>
    <t>Remove Tecno Spark 20</t>
  </si>
  <si>
    <t>Only that line is deleted; the other line and the count remain correct.</t>
  </si>
  <si>
    <t>TC-040</t>
  </si>
  <si>
    <t>Remove the last item shows the empty-cart state</t>
  </si>
  <si>
    <t>1. Add one product
2. Open Cart and click Remove</t>
  </si>
  <si>
    <t>One item in cart</t>
  </si>
  <si>
    <t>Empty-cart message is shown with a link back to the shop.</t>
  </si>
  <si>
    <t>TC-041</t>
  </si>
  <si>
    <t>Empty-cart link returns to the shop</t>
  </si>
  <si>
    <t>1. Open Cart with no items
2. Click the link back to the shop</t>
  </si>
  <si>
    <t>Empty cart</t>
  </si>
  <si>
    <t>Shop page with the product catalog is shown.</t>
  </si>
  <si>
    <t>TC-042</t>
  </si>
  <si>
    <t>Apply SAVE10</t>
  </si>
  <si>
    <t>1. Add Tecno Spark 20
2. Open Cart, enter SAVE10 and click 'Apply coupon'</t>
  </si>
  <si>
    <t>Subtotal 145,000 | SAVE10</t>
  </si>
  <si>
    <t>Discount is 14,500 (10% of subtotal). Confirmation that the coupon is applied is shown.</t>
  </si>
  <si>
    <t>TC-043</t>
  </si>
  <si>
    <t>Apply WELCOME5</t>
  </si>
  <si>
    <t>1. Add Samsung Galaxy A54
2. Open Cart, enter WELCOME5 and click 'Apply coupon'</t>
  </si>
  <si>
    <t>Subtotal 310,000 | WELCOME5</t>
  </si>
  <si>
    <t>Discount is 15,500 (5% of subtotal); Total 296,500.</t>
  </si>
  <si>
    <t>TC-044</t>
  </si>
  <si>
    <t>Coupon code in lowercase</t>
  </si>
  <si>
    <t>1. Add Tecno Spark 20
2. Open Cart, enter save10 and apply</t>
  </si>
  <si>
    <t>Code: save10</t>
  </si>
  <si>
    <t>Coupon is accepted; 10% discount applied.</t>
  </si>
  <si>
    <t>TC-045</t>
  </si>
  <si>
    <t>Coupon code in mixed case</t>
  </si>
  <si>
    <t>1. Add Tecno Spark 20
2. Open Cart, enter Welcome5 and apply</t>
  </si>
  <si>
    <t>Code: Welcome5</t>
  </si>
  <si>
    <t>Coupon is accepted; 5% discount applied.</t>
  </si>
  <si>
    <t>TC-046</t>
  </si>
  <si>
    <t>Invalid coupon code</t>
  </si>
  <si>
    <t>1. Add Tecno Spark 20
2. Open Cart, enter FREE100 and apply</t>
  </si>
  <si>
    <t>Code: FREE100</t>
  </si>
  <si>
    <t>An error is shown; no discount is applied; Total unchanged.</t>
  </si>
  <si>
    <t>An error is shown; Invalid coupon code, no discount is applied; Total unchanged.</t>
  </si>
  <si>
    <t>TC-047</t>
  </si>
  <si>
    <t>Apply with the coupon field empty</t>
  </si>
  <si>
    <t>1. Add Tecno Spark 20
2. Open Cart, leave the coupon field empty and click 'Apply coupon'</t>
  </si>
  <si>
    <t>Code: (empty)</t>
  </si>
  <si>
    <t>No discount is applied and the customer is told the code is invalid or missing.</t>
  </si>
  <si>
    <t>30/09/2026</t>
  </si>
  <si>
    <t>PRD only covers invalid codes. PRD gap: exact behavior not stated. Confirm with the product owner before logging a bug.</t>
  </si>
  <si>
    <t>TC-048</t>
  </si>
  <si>
    <t>Apply the same coupon repeatedly does not stack</t>
  </si>
  <si>
    <t>1. Add Tecno Spark 20
2. Open Cart and apply SAVE10
3. Click 'Apply coupon' again with SAVE10 two more times</t>
  </si>
  <si>
    <t>Subtotal 145,000 | SAVE10 x3</t>
  </si>
  <si>
    <t>Discount stays 14,500 (one 10%). It never increases.</t>
  </si>
  <si>
    <t>Discount keep increasing,more than 10%.</t>
  </si>
  <si>
    <t xml:space="preserve">  BUG-008</t>
  </si>
  <si>
    <t>TC-049</t>
  </si>
  <si>
    <t>A second valid coupon replaces the first</t>
  </si>
  <si>
    <t>1. Add Tecno Spark 20
2. Apply SAVE10
3. Apply WELCOME5</t>
  </si>
  <si>
    <t>SAVE10 then WELCOME5</t>
  </si>
  <si>
    <t>Only WELCOME5 applies (7,250 off 145,000). Discounts are not added together.</t>
  </si>
  <si>
    <t>Discounts are added together.</t>
  </si>
  <si>
    <t xml:space="preserve">  BUG-009</t>
  </si>
  <si>
    <t>TC-050</t>
  </si>
  <si>
    <t>Invalid coupon entered after a valid one</t>
  </si>
  <si>
    <t>1. Add Tecno Spark 20
2. Apply SAVE10
3. Enter FREE100 and apply</t>
  </si>
  <si>
    <t>SAVE10 then FREE100</t>
  </si>
  <si>
    <t>An error is shown and no extra discount is added.</t>
  </si>
  <si>
    <t>PRD does not say whether SAVE10 stays applied. PRD gap: exact behavior not stated. Confirm with the product owner before logging a bug.</t>
  </si>
  <si>
    <t>TC-051</t>
  </si>
  <si>
    <t>Discount recalculates when the subtotal changes</t>
  </si>
  <si>
    <t>1. Add Tecno Spark 20 and apply SAVE10
2. Change quantity to 2
3. Read the totals</t>
  </si>
  <si>
    <t>Subtotal 290,000 | SAVE10</t>
  </si>
  <si>
    <t>Discount is 29,000 and Total is 263,000.</t>
  </si>
  <si>
    <t>PRD says 'Total = subtotal + delivery - discount, always'; a percentage discount is expected to follow the subtotal.</t>
  </si>
  <si>
    <t>TC-052</t>
  </si>
  <si>
    <t>Delivery fee on a small order</t>
  </si>
  <si>
    <t>1. Add USB-C Cable 1m x1
2. Open Cart</t>
  </si>
  <si>
    <t>Subtotal 4,500</t>
  </si>
  <si>
    <t>Delivery shows 2,000; Total 6,500.</t>
  </si>
  <si>
    <t>TC-053</t>
  </si>
  <si>
    <t>Subtotal just below the threshold</t>
  </si>
  <si>
    <t>1. Add Anker 20W Charger and set quantity to 39
2. Add USB-C Cable 1m and set quantity to 2
3. Open Cart</t>
  </si>
  <si>
    <t>39 x 12,500 + 2 x 4,500 = 496,500</t>
  </si>
  <si>
    <t>Delivery shows 2,000.</t>
  </si>
  <si>
    <t>TC-054</t>
  </si>
  <si>
    <t>Subtotal exactly at the threshold</t>
  </si>
  <si>
    <t>1. Add Anker 20W Charger and set quantity to 40
2. Open Cart</t>
  </si>
  <si>
    <t>40 x 12,500 = 500,000</t>
  </si>
  <si>
    <t>Delivery is free; Total is 500,000.</t>
  </si>
  <si>
    <t>TC-055</t>
  </si>
  <si>
    <t>Subtotal just above the threshold</t>
  </si>
  <si>
    <t>1. Add Anker 20W Charger and set quantity to 40
2. Add USB-C Cable 1m
3. Open Cart</t>
  </si>
  <si>
    <t>500,000 + 4,500 = 504,500</t>
  </si>
  <si>
    <t>Delivery is free; Total is 504,500.</t>
  </si>
  <si>
    <t>TC-056</t>
  </si>
  <si>
    <t>Single high-value item</t>
  </si>
  <si>
    <t>1. Add HP Pavilion 15 Laptop
2. Open Cart</t>
  </si>
  <si>
    <t>Subtotal 680,000</t>
  </si>
  <si>
    <t>Delivery is free; Total is 680,000.</t>
  </si>
  <si>
    <t>TC-057</t>
  </si>
  <si>
    <t>Threshold uses subtotal before discount</t>
  </si>
  <si>
    <t>1. Add iPhone 13 128GB
2. Open Cart and apply SAVE10</t>
  </si>
  <si>
    <t>Subtotal 520,000 | SAVE10</t>
  </si>
  <si>
    <t>Delivery is free (subtotal is over 500,000). Discount 52,000; Total 468,000.</t>
  </si>
  <si>
    <t>PRD says free delivery is based on 'cart subtotal'. Confirm intent if unclear.</t>
  </si>
  <si>
    <t>TC-058</t>
  </si>
  <si>
    <t>Delivery fee returns when the subtotal drops below the threshold</t>
  </si>
  <si>
    <t>1. Add Anker 20W Charger with quantity 40 (delivery free)
2. Change quantity to 39</t>
  </si>
  <si>
    <t>500,000 to 487,500</t>
  </si>
  <si>
    <t>Delivery changes from Free to 2,000 and Total updates.</t>
  </si>
  <si>
    <t>TC-059</t>
  </si>
  <si>
    <t>Register with valid details</t>
  </si>
  <si>
    <t>1. Open the Log in page and select the 'Register' tab
2. Enter valid name, email and password
3. Click 'Create account'</t>
  </si>
  <si>
    <t>Test account: Test User / testuser1@example.com / Passw0rd123</t>
  </si>
  <si>
    <t>Account is created and the customer is logged in automatically. Header shows 'Log out (name)'.</t>
  </si>
  <si>
    <t>TC-060</t>
  </si>
  <si>
    <t>Full name left empty</t>
  </si>
  <si>
    <t>1. Open the Log in page and select the 'Register' tab
2. Leave name empty; fill email and password validly
3. Click 'Create account'</t>
  </si>
  <si>
    <t>Name: (empty)</t>
  </si>
  <si>
    <t>Account is not created. Error asks for the full name.</t>
  </si>
  <si>
    <t>TC-061</t>
  </si>
  <si>
    <t>Email left empty</t>
  </si>
  <si>
    <t>1. Open the Log in page and select the 'Register' tab
2. Fill name and password; leave email empty
3. Click 'Create account'</t>
  </si>
  <si>
    <t>Email: (empty)</t>
  </si>
  <si>
    <t>Account is not created. Error asks for a valid email.</t>
  </si>
  <si>
    <t>TC-062</t>
  </si>
  <si>
    <t>Email without an @ symbol</t>
  </si>
  <si>
    <t>1. Open the Log in page and select the 'Register' tab
2. Enter an email without @
3. Click 'Create account'</t>
  </si>
  <si>
    <t>Email: testuser1.example.com</t>
  </si>
  <si>
    <t>TC-063</t>
  </si>
  <si>
    <t>Email with no dot in the domain</t>
  </si>
  <si>
    <t>1. Open the Log in page and select the 'Register' tab
2. Enter an email whose domain has no dot
3. Click 'Create account'</t>
  </si>
  <si>
    <t>Email: a@b</t>
  </si>
  <si>
    <t>Account is not created; the PRD says a@b is not valid.</t>
  </si>
  <si>
    <t xml:space="preserve">  BUG-010</t>
  </si>
  <si>
    <t>TC-064</t>
  </si>
  <si>
    <t>Email missing the part before @</t>
  </si>
  <si>
    <t>1. Open the Log in page and select the 'Register' tab
2. Enter an email starting with @
3. Click 'Create account'</t>
  </si>
  <si>
    <t>Email: @example.com</t>
  </si>
  <si>
    <t xml:space="preserve">  BUG-011</t>
  </si>
  <si>
    <t>Implied by 'valid email'. Confirm if unclear.</t>
  </si>
  <si>
    <t>TC-065</t>
  </si>
  <si>
    <t>Email containing a space</t>
  </si>
  <si>
    <t>1. Open the Log in page and select the 'Register' tab
2. Enter an email with a space inside
3. Click 'Create account'</t>
  </si>
  <si>
    <t>Email: test user@example.com</t>
  </si>
  <si>
    <t xml:space="preserve">  BUG-012</t>
  </si>
  <si>
    <t>TC-066</t>
  </si>
  <si>
    <t>Password with 7 characters</t>
  </si>
  <si>
    <t>1. Open the Log in page and select the 'Register' tab
2. Enter a 7-character password
3. Click 'Create account'</t>
  </si>
  <si>
    <t>Password: Pass123</t>
  </si>
  <si>
    <t>Account is not created. Error states the 8-character minimum.</t>
  </si>
  <si>
    <t>TC-067</t>
  </si>
  <si>
    <t>Password with exactly 8 characters</t>
  </si>
  <si>
    <t>1. Open the Log in page and select the 'Register' tab
2. Enter an 8-character password
3. Click 'Create account'</t>
  </si>
  <si>
    <t>Password: Pass1234</t>
  </si>
  <si>
    <t>Account is created successfully.</t>
  </si>
  <si>
    <t>TC-068</t>
  </si>
  <si>
    <t>Password left empty</t>
  </si>
  <si>
    <t>1. Open the Log in page and select the 'Register' tab
2. Fill name and email; leave password empty
3. Click 'Create account'</t>
  </si>
  <si>
    <t>Password: (empty)</t>
  </si>
  <si>
    <t>Account is not created. Error states the password requirement.</t>
  </si>
  <si>
    <t>TC-069</t>
  </si>
  <si>
    <t>Register with an email that already exists</t>
  </si>
  <si>
    <t>App open in a fresh browser session (localStorage cleared). testuser1@example.com already registered.</t>
  </si>
  <si>
    <t>1. Open the Log in page and select the 'Register' tab
2. Enter name, the existing email and a valid password
3. Click 'Create account'</t>
  </si>
  <si>
    <t>Email: testuser1@example.com</t>
  </si>
  <si>
    <t>Account is not created. Error says the email is already registered.</t>
  </si>
  <si>
    <t>TC-070</t>
  </si>
  <si>
    <t>Register with an existing email in different letter case</t>
  </si>
  <si>
    <t>1. Open the Log in page and select the 'Register' tab
2. Enter TESTUSER1@EXAMPLE.COM with valid name and password
3. Click 'Create account'</t>
  </si>
  <si>
    <t>Email: TESTUSER1@EXAMPLE.COM</t>
  </si>
  <si>
    <t>Account is not created; treated as the same email that already exists.</t>
  </si>
  <si>
    <t>PRD does not mention email case. PRD gap: exact behavior not stated. Confirm with the product owner before logging a bug.</t>
  </si>
  <si>
    <t>TC-071</t>
  </si>
  <si>
    <t>Login with valid credentials</t>
  </si>
  <si>
    <t>App open in a fresh browser session (localStorage cleared). Test account registered and logged out.</t>
  </si>
  <si>
    <t>1. Open the Log in page
2. Enter the registered email and password
3. Click 'Log in'</t>
  </si>
  <si>
    <t>Customer is logged in; header shows 'Log out (name)'.</t>
  </si>
  <si>
    <t>Login fails with the generic message 'Email or password is incorrect'.</t>
  </si>
  <si>
    <t xml:space="preserve">  BUG-013</t>
  </si>
  <si>
    <t>TC-072</t>
  </si>
  <si>
    <t>Login with a wrong password</t>
  </si>
  <si>
    <t>App open in a fresh browser session (localStorage cleared). Test account registered.</t>
  </si>
  <si>
    <t>1. Open the Log in page
2. Enter the registered email and a wrong password
3. Click 'Log in'</t>
  </si>
  <si>
    <t>Email: testuser1@example.com | Password: WrongPass1</t>
  </si>
  <si>
    <t>TC-073</t>
  </si>
  <si>
    <t>Login with an unregistered email</t>
  </si>
  <si>
    <t>1. Open the Log in page
2. Enter an unregistered email and any password
3. Click 'Log in'</t>
  </si>
  <si>
    <t>Email: nobody@example.com | Password: Passw0rd123</t>
  </si>
  <si>
    <t>Login fails with the same generic message.</t>
  </si>
  <si>
    <t>TC-074</t>
  </si>
  <si>
    <t>Error message does not reveal which field was wrong</t>
  </si>
  <si>
    <t>1. Open the Log in page
2. Log in with a wrong password and note the message
3. Log in with an unregistered email and note the message
4. Compare the two messages</t>
  </si>
  <si>
    <t>See the two cases above</t>
  </si>
  <si>
    <t>Both messages are identical and do not say whether the email or the password was wrong.</t>
  </si>
  <si>
    <t>TC-075</t>
  </si>
  <si>
    <t>Login with both fields empty</t>
  </si>
  <si>
    <t>1. Open the Log in page
2. Leave email and password empty
3. Click 'Log in'</t>
  </si>
  <si>
    <t>Both empty</t>
  </si>
  <si>
    <t>Login fails with a visible error message.</t>
  </si>
  <si>
    <t>TC-076</t>
  </si>
  <si>
    <t>Name appears in header after login</t>
  </si>
  <si>
    <t>1. Log in with the test account</t>
  </si>
  <si>
    <t>Header replaces 'Log in' with 'Log out (name)'.</t>
  </si>
  <si>
    <t xml:space="preserve">  BUG-014</t>
  </si>
  <si>
    <t>TC-077</t>
  </si>
  <si>
    <t>Logout ends the session</t>
  </si>
  <si>
    <t>1. Click 'Log out' in the header</t>
  </si>
  <si>
    <t>Session ends, the shop is shown, and the header shows 'Log in' again.</t>
  </si>
  <si>
    <t>TC-078</t>
  </si>
  <si>
    <t>Guest cannot check out</t>
  </si>
  <si>
    <t>1. While logged out, add Tecno Spark 20
2. Open Cart and click 'Go to checkout'</t>
  </si>
  <si>
    <t>Logged out</t>
  </si>
  <si>
    <t>Customer is sent to the login page (with a message) and cannot reach the checkout form.</t>
  </si>
  <si>
    <t>TC-079</t>
  </si>
  <si>
    <t>Return to checkout after logging in from the checkout redirect</t>
  </si>
  <si>
    <t>App open in a fresh browser session (localStorage cleared). Test account registered; logged out.</t>
  </si>
  <si>
    <t>1. Add an item and click 'Go to checkout' while logged out
2. Log in when redirected</t>
  </si>
  <si>
    <t>After login, the customer returns to checkout or is told to retry, and the cart is still intact.</t>
  </si>
  <si>
    <t xml:space="preserve">  BUG-015</t>
  </si>
  <si>
    <t>TC-080</t>
  </si>
  <si>
    <t>Checkout is blocked again after logging out</t>
  </si>
  <si>
    <t>1. Log out
2. Open Cart and click 'Go to checkout'</t>
  </si>
  <si>
    <t>Logged out with items in cart</t>
  </si>
  <si>
    <t>Checkout is blocked and the login page is shown.</t>
  </si>
  <si>
    <t>TC-081</t>
  </si>
  <si>
    <t>Order shows all required details</t>
  </si>
  <si>
    <t>1. Place an order with Tecno Spark 20 x1 using Card
2. Open Orders</t>
  </si>
  <si>
    <t>The order shows order number, date, payment method, status, item list and total.</t>
  </si>
  <si>
    <t>TC-082</t>
  </si>
  <si>
    <t>Orders are listed most recent first</t>
  </si>
  <si>
    <t>1. Place a first order
2. Place a second order
3. Open Orders</t>
  </si>
  <si>
    <t>The second (newest) order is listed above the first.</t>
  </si>
  <si>
    <t>TC-083</t>
  </si>
  <si>
    <t>Customer sees only their own orders</t>
  </si>
  <si>
    <t>App open in a fresh browser session (localStorage cleared). Two registered accounts (A and B).</t>
  </si>
  <si>
    <t>1. Log in as account A and place an order
2. Log out and log in as account B
3. Open Orders</t>
  </si>
  <si>
    <t>Account A and Account B</t>
  </si>
  <si>
    <t>Account B does not see account A's order.</t>
  </si>
  <si>
    <t xml:space="preserve">  BUG-016</t>
  </si>
  <si>
    <t>TC-084</t>
  </si>
  <si>
    <t>Customer with no orders</t>
  </si>
  <si>
    <t>App open in a fresh browser session (localStorage cleared). Logged in with a new account.</t>
  </si>
  <si>
    <t>1. Log in with an account that has never ordered
2. Open Orders</t>
  </si>
  <si>
    <t>New account</t>
  </si>
  <si>
    <t>A clear 'no orders yet' message is shown, not a blank page.</t>
  </si>
  <si>
    <t>TC-085</t>
  </si>
  <si>
    <t>Guest opens the Orders page</t>
  </si>
  <si>
    <t>1. While logged out, open Orders</t>
  </si>
  <si>
    <t>Customer is prompted to log in; no empty or broken page.</t>
  </si>
  <si>
    <t>TC-086</t>
  </si>
  <si>
    <t>Order details match what was placed</t>
  </si>
  <si>
    <t>1. Add Tecno Spark 20 x2 and apply SAVE10
2. Place the order
3. Open Orders and compare with what was ordered</t>
  </si>
  <si>
    <t>Tecno Spark 20 x2 | SAVE10</t>
  </si>
  <si>
    <t>Items, quantities and total in the order match the order placed.</t>
  </si>
  <si>
    <t>TC-087</t>
  </si>
  <si>
    <t>Catalog shows all products and their details</t>
  </si>
  <si>
    <t>1. Open the shop page
2. Review every product card</t>
  </si>
  <si>
    <t>12 products</t>
  </si>
  <si>
    <t>12 products shown, each with name, category, price, stock level and thumbnail.</t>
  </si>
  <si>
    <t>TC-088</t>
  </si>
  <si>
    <t>Prices are formatted in Naira with separators</t>
  </si>
  <si>
    <t>1. Open the shop page
2. Read the price of iPhone 13 128GB and USB-C Cable 1m</t>
  </si>
  <si>
    <t>iPhone 13: 520,000 | USB-C Cable: 4,500</t>
  </si>
  <si>
    <t>Prices display as ₦520,000 and ₦4,500.</t>
  </si>
  <si>
    <t>TC-089</t>
  </si>
  <si>
    <t>Out-of-stock product is labeled and disabled</t>
  </si>
  <si>
    <t>1. Find Apple Watch SE on the shop page</t>
  </si>
  <si>
    <t>Apple Watch SE (stock 0)</t>
  </si>
  <si>
    <t>Labeled 'Out of stock'; 'Add to cart' is disabled.</t>
  </si>
  <si>
    <t>TC-090</t>
  </si>
  <si>
    <t>Out-of-stock product cannot be added by any route</t>
  </si>
  <si>
    <t>1. Try clicking Add to cart on Apple Watch SE
2. Try reaching the button with the keyboard (Tab + Enter)
3. Open Cart</t>
  </si>
  <si>
    <t>Item is never added to the cart by mouse or keyboard.</t>
  </si>
  <si>
    <t>TC-091</t>
  </si>
  <si>
    <t>Search by exact product name</t>
  </si>
  <si>
    <t>1. Type the full name in the search box</t>
  </si>
  <si>
    <t>Only Tecno Spark 20 is shown.</t>
  </si>
  <si>
    <t>TC-092</t>
  </si>
  <si>
    <t>Search by partial name</t>
  </si>
  <si>
    <t>1. Type part of a name in the search box</t>
  </si>
  <si>
    <t>phone</t>
  </si>
  <si>
    <t>Products whose name contains 'phone' are shown (iPhone 13 128GB).</t>
  </si>
  <si>
    <t xml:space="preserve">error message "No products match "phone". Try a different search." </t>
  </si>
  <si>
    <t xml:space="preserve">  BUG-018</t>
  </si>
  <si>
    <t>TC-093</t>
  </si>
  <si>
    <t>Search in lowercase</t>
  </si>
  <si>
    <t>1. Type the name in all lowercase</t>
  </si>
  <si>
    <t>iphone</t>
  </si>
  <si>
    <t>iPhone 13 128GB is shown (search is case-insensitive).</t>
  </si>
  <si>
    <t xml:space="preserve">error message "No products match "iphone". Try a different search." </t>
  </si>
  <si>
    <t xml:space="preserve">  BUG-019</t>
  </si>
  <si>
    <t>TC-094</t>
  </si>
  <si>
    <t>Search in uppercase</t>
  </si>
  <si>
    <t>1. Type the name in all uppercase</t>
  </si>
  <si>
    <t>AIRPODS</t>
  </si>
  <si>
    <t>AirPods Pro is shown.</t>
  </si>
  <si>
    <t>error message "No products match "AIRPODS". Try a different search."</t>
  </si>
  <si>
    <t xml:space="preserve">  BUG-020</t>
  </si>
  <si>
    <t>TC-095</t>
  </si>
  <si>
    <t>Search with no matching product</t>
  </si>
  <si>
    <t>1. Type a term that matches nothing</t>
  </si>
  <si>
    <t>xyz123</t>
  </si>
  <si>
    <t>A 'no results' message that includes the search term is shown.</t>
  </si>
  <si>
    <t>No products match "xyz123". Try a different search.</t>
  </si>
  <si>
    <t>TC-096</t>
  </si>
  <si>
    <t>Clearing the search shows all products</t>
  </si>
  <si>
    <t>1. Type a search term
2. Clear the search box</t>
  </si>
  <si>
    <t>Search: tecno then cleared</t>
  </si>
  <si>
    <t>All 12 products are shown again.</t>
  </si>
  <si>
    <t>TC-097</t>
  </si>
  <si>
    <t>Search combined with a category filter</t>
  </si>
  <si>
    <t>1. Select category 'Wearables'
2. Type 'watch' in the search box
3. Change category to 'Phones'</t>
  </si>
  <si>
    <t>Search: watch</t>
  </si>
  <si>
    <t>Wearables: Apple Watch SE shown. Phones: no results message.</t>
  </si>
  <si>
    <t>TC-098</t>
  </si>
  <si>
    <t>Search with special characters</t>
  </si>
  <si>
    <t>1. Type HTML-like text in the search box</t>
  </si>
  <si>
    <t>&lt;b&gt;test&lt;/b&gt;</t>
  </si>
  <si>
    <t>No results message is shown; layout is not broken and no markup or script is executed.</t>
  </si>
  <si>
    <t>TC-099</t>
  </si>
  <si>
    <t>Sort price low to high</t>
  </si>
  <si>
    <t>1. Select 'Price: low to high'
2. Read the prices from top to bottom</t>
  </si>
  <si>
    <t>Order: 4,500 | 12,500 | 22,000 | 38,000 | 95,000 | 145,000 | 185,000 | 260,000 | 310,000 | 520,000 | 680,000 | 750,000.</t>
  </si>
  <si>
    <t>TC-100</t>
  </si>
  <si>
    <t>Sort price high to low</t>
  </si>
  <si>
    <t>1. Select 'Price: high to low'
2. Read the prices from top to bottom</t>
  </si>
  <si>
    <t>Order: 750,000 | 680,000 | 520,000 | 310,000 | 260,000 | 185,000 | 145,000 | 95,000 | 38,000 | 22,000 | 12,500 | 4,500.</t>
  </si>
  <si>
    <t>TC-101</t>
  </si>
  <si>
    <t>Sort with a category filter</t>
  </si>
  <si>
    <t>1. Select category 'Phones'
2. Select 'Price: high to low'</t>
  </si>
  <si>
    <t>Phones</t>
  </si>
  <si>
    <t>Shows 520,000 (iPhone) | 310,000 (Galaxy A54) | 145,000 (Tecno).</t>
  </si>
  <si>
    <t>TC-102</t>
  </si>
  <si>
    <t>Sort with an active search</t>
  </si>
  <si>
    <t>1. Type 'a' in the search box
2. Select 'Price: low to high'</t>
  </si>
  <si>
    <t>Search: a</t>
  </si>
  <si>
    <t>All matching products are ordered numerically from lowest to highest price.</t>
  </si>
  <si>
    <t>TC-103</t>
  </si>
  <si>
    <t>Category dropdown lists all categories</t>
  </si>
  <si>
    <t>1. Open the category dropdown</t>
  </si>
  <si>
    <t>Categories</t>
  </si>
  <si>
    <t>Lists 'All' plus Phones, Laptops, Audio, Accessories, Wearables.</t>
  </si>
  <si>
    <t>TC-104</t>
  </si>
  <si>
    <t>Each category shows only its own products</t>
  </si>
  <si>
    <t>1. Select each category in turn and count the products</t>
  </si>
  <si>
    <t>Phones 3 | Laptops 2 | Audio 2 | Accessories 3 | Wearables 2</t>
  </si>
  <si>
    <t>Each category shows only its products with the expected counts.</t>
  </si>
  <si>
    <t>TC-105</t>
  </si>
  <si>
    <t>Returning to 'All' shows every product</t>
  </si>
  <si>
    <t>1. Select 'Phones'
2. Select 'All'</t>
  </si>
  <si>
    <t>Phones then All</t>
  </si>
  <si>
    <t>All 12 products are shown.</t>
  </si>
  <si>
    <t>TC-106</t>
  </si>
  <si>
    <t>Category combined with search</t>
  </si>
  <si>
    <t>1. Select 'Phones'
2. Type 'Samsung' in search</t>
  </si>
  <si>
    <t>Phones + Samsung</t>
  </si>
  <si>
    <t>Only Samsung Galaxy A54 is shown.</t>
  </si>
  <si>
    <t>TC-107</t>
  </si>
  <si>
    <t>Cart survives a page refresh</t>
  </si>
  <si>
    <t>1. Add Tecno Spark 20
2. Refresh the page
3. Open Cart</t>
  </si>
  <si>
    <t>Cart still contains the item; header count is correct.</t>
  </si>
  <si>
    <t>TC-108</t>
  </si>
  <si>
    <t>Session survives a page refresh</t>
  </si>
  <si>
    <t>1. Refresh the page</t>
  </si>
  <si>
    <t>Customer is still logged in.</t>
  </si>
  <si>
    <t>TC-109</t>
  </si>
  <si>
    <t>Orders survive a page refresh</t>
  </si>
  <si>
    <t>App open in a fresh browser session (localStorage cleared). Logged in with one order placed.</t>
  </si>
  <si>
    <t>1. Refresh the page
2. Open Orders</t>
  </si>
  <si>
    <t>The order is still listed.</t>
  </si>
  <si>
    <t>TC-110</t>
  </si>
  <si>
    <t>Data is scoped to one browser</t>
  </si>
  <si>
    <t>1. Add an item to the cart
2. Open the store in a different browser or a private window
3. Open Cart</t>
  </si>
  <si>
    <t>Second browser / private window</t>
  </si>
  <si>
    <t>The second browser has an empty cart (expected by design, see PRD section 6).</t>
  </si>
  <si>
    <t>TC-111</t>
  </si>
  <si>
    <t>Every form shows a visible error on invalid input</t>
  </si>
  <si>
    <t>1. Submit Register with invalid data
2. Submit Login with invalid data
3. Submit Checkout with invalid data
4. Apply an invalid coupon</t>
  </si>
  <si>
    <t>Invalid data on each form</t>
  </si>
  <si>
    <t>Each form shows a visible, specific error message. None fails silently.</t>
  </si>
  <si>
    <t>Registeration with invalid data is accepted,also Checkout with invalid data,no error messages</t>
  </si>
  <si>
    <t>TC-112</t>
  </si>
  <si>
    <t>Header navigation reachable by keyboard</t>
  </si>
  <si>
    <t>1. Press Tab repeatedly from the top of the page
2. Press Enter on each header link</t>
  </si>
  <si>
    <t>Keyboard only</t>
  </si>
  <si>
    <t>All header items are reachable in order and activate with Enter.</t>
  </si>
  <si>
    <t>TC-113</t>
  </si>
  <si>
    <t>Visible focus on interactive elements</t>
  </si>
  <si>
    <t>1. Tab through buttons, inputs and dropdowns on Shop, Cart and Checkout</t>
  </si>
  <si>
    <t>A clear focus outline is visible on every interactive element.</t>
  </si>
  <si>
    <t>TC-114</t>
  </si>
  <si>
    <t>Complete a purchase using only the keyboard</t>
  </si>
  <si>
    <t>1. Log in, add an item, fill checkout and place an order without using the mouse</t>
  </si>
  <si>
    <t>The whole journey can be completed with keyboard only.</t>
  </si>
  <si>
    <t>TC-115</t>
  </si>
  <si>
    <t>Shop page at 320px width</t>
  </si>
  <si>
    <t>1. Set browser width to 320px
2. Scroll the shop page</t>
  </si>
  <si>
    <t>320px</t>
  </si>
  <si>
    <t xml:space="preserve"> No horizontal scrolling; content readable and controls usable.</t>
  </si>
  <si>
    <t>No horizontal scrolling; content readable and controls usable.</t>
  </si>
  <si>
    <t>TC-116</t>
  </si>
  <si>
    <t>Cart and checkout at 375px width</t>
  </si>
  <si>
    <t>1. Set browser width to 375px
2. Open Cart and Checkout</t>
  </si>
  <si>
    <t>375px</t>
  </si>
  <si>
    <t>No horizontal scrolling; all fields and buttons are usable.</t>
  </si>
  <si>
    <t>TC-117</t>
  </si>
  <si>
    <t>Layout at tablet width</t>
  </si>
  <si>
    <t>1. Set browser width to 768px
2. Visit Shop, Cart, Login and Orders</t>
  </si>
  <si>
    <t>768px</t>
  </si>
  <si>
    <t>Layout adapts cleanly with no overlap or horizontal scrolling.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</si>
</sst>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0.0%"/>
  </numFmts>
  <fonts count="8">
    <font>
      <sz val="11.0"/>
      <color theme="1"/>
      <name val="Calibri"/>
      <scheme val="minor"/>
    </font>
    <font>
      <b/>
      <sz val="10.0"/>
      <color rgb="FFFFFFFF"/>
      <name val="Arial"/>
    </font>
    <font>
      <b/>
      <sz val="11.0"/>
      <color rgb="FF14213D"/>
      <name val="Arial"/>
    </font>
    <font>
      <sz val="10.0"/>
      <color theme="1"/>
      <name val="Arial"/>
    </font>
    <font>
      <b/>
      <color rgb="FF000000"/>
      <name val="Calibri"/>
      <scheme val="minor"/>
    </font>
    <font>
      <sz val="10.0"/>
      <color rgb="FF000000"/>
      <name val="Arial"/>
    </font>
    <font>
      <color theme="1"/>
      <name val="Calibri"/>
      <scheme val="minor"/>
    </font>
    <font>
      <b/>
      <sz val="10.0"/>
      <color theme="1"/>
      <name val="Arial"/>
    </font>
  </fonts>
  <fills count="4">
    <fill>
      <patternFill patternType="none"/>
    </fill>
    <fill>
      <patternFill patternType="lightGray"/>
    </fill>
    <fill>
      <patternFill patternType="solid">
        <fgColor rgb="FF14213D"/>
        <bgColor rgb="FF14213D"/>
      </patternFill>
    </fill>
    <fill>
      <patternFill patternType="solid">
        <fgColor rgb="FFFFF8DC"/>
        <bgColor rgb="FFFFF8DC"/>
      </patternFill>
    </fill>
  </fills>
  <borders count="2">
    <border/>
    <border>
      <left style="thin">
        <color rgb="FFC8CDD6"/>
      </left>
      <right style="thin">
        <color rgb="FFC8CDD6"/>
      </right>
      <top style="thin">
        <color rgb="FFC8CDD6"/>
      </top>
      <bottom style="thin">
        <color rgb="FFC8CDD6"/>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top" wrapText="1"/>
    </xf>
    <xf borderId="1" fillId="0" fontId="3" numFmtId="0" xfId="0" applyAlignment="1" applyBorder="1" applyFont="1">
      <alignment horizontal="center" shrinkToFit="0" vertical="top" wrapText="1"/>
    </xf>
    <xf borderId="0" fillId="0" fontId="4" numFmtId="0" xfId="0" applyAlignment="1" applyFont="1">
      <alignment readingOrder="0"/>
    </xf>
    <xf borderId="0" fillId="0" fontId="5" numFmtId="0" xfId="0" applyAlignment="1" applyFont="1">
      <alignment shrinkToFit="0" vertical="top" wrapText="1"/>
    </xf>
    <xf borderId="1" fillId="0" fontId="3" numFmtId="0" xfId="0" applyAlignment="1" applyBorder="1" applyFont="1">
      <alignment horizontal="left" shrinkToFit="0" vertical="top" wrapText="1"/>
    </xf>
    <xf borderId="0" fillId="0" fontId="3" numFmtId="0" xfId="0" applyAlignment="1" applyFont="1">
      <alignment shrinkToFit="0" vertical="top" wrapText="1"/>
    </xf>
    <xf borderId="1" fillId="3" fontId="3" numFmtId="0" xfId="0" applyAlignment="1" applyBorder="1" applyFill="1" applyFont="1">
      <alignment horizontal="left" readingOrder="0" shrinkToFit="0" vertical="top" wrapText="1"/>
    </xf>
    <xf borderId="1" fillId="3" fontId="3" numFmtId="0" xfId="0" applyAlignment="1" applyBorder="1" applyFill="1" applyFont="1">
      <alignment horizontal="center" readingOrder="0" shrinkToFit="0" vertical="top" wrapText="1"/>
    </xf>
    <xf borderId="0" fillId="0" fontId="6" numFmtId="0" xfId="0" applyAlignment="1" applyFont="1">
      <alignment readingOrder="0"/>
    </xf>
    <xf borderId="1" fillId="3" fontId="3" numFmtId="0" xfId="0" applyAlignment="1" applyBorder="1" applyFill="1" applyFont="1">
      <alignment horizontal="center" shrinkToFit="0" vertical="top" wrapText="1"/>
    </xf>
    <xf borderId="1" fillId="3" fontId="3" numFmtId="0" xfId="0" applyAlignment="1" applyBorder="1" applyFill="1" applyFont="1">
      <alignment horizontal="left" shrinkToFit="0" vertical="top" wrapText="1"/>
    </xf>
    <xf borderId="0" fillId="0" fontId="7" numFmtId="0" xfId="0" applyAlignment="1" applyFont="1">
      <alignment horizontal="left" shrinkToFit="0" vertical="bottom" wrapText="0"/>
    </xf>
    <xf borderId="1" fillId="3" fontId="3" numFmtId="164" xfId="0" applyAlignment="1" applyBorder="1" applyFill="1" applyFont="1" applyNumberFormat="1">
      <alignment horizontal="center" shrinkToFit="0" vertical="top" wrapText="1"/>
    </xf>
    <xf borderId="0" fillId="0" fontId="7" numFmtId="165" xfId="0" applyAlignment="1" applyFont="1" applyNumberFormat="1">
      <alignment horizontal="left" shrinkToFit="0" vertical="bottom" wrapText="0"/>
    </xf>
    <xf borderId="0" fillId="0" fontId="7" numFmtId="0" xfId="0" applyAlignment="1" applyFont="1">
      <alignment horizontal="right" shrinkToFit="0" vertical="bottom" wrapText="0"/>
    </xf>
    <xf borderId="0" fillId="0" fontId="7" numFmtId="0" xfId="0" applyAlignment="1" applyFont="1">
      <alignment horizontal="center" shrinkToFit="0" vertical="bottom" wrapText="0"/>
    </xf>
    <xf borderId="1" fillId="3" fontId="7" numFmtId="0" xfId="0" applyAlignment="1" applyBorder="1" applyFill="1" applyFont="1">
      <alignment horizontal="center" readingOrder="0" shrinkToFit="0" vertical="top" wrapText="1"/>
    </xf>
    <xf borderId="1" fillId="0" fontId="3" numFmtId="0" xfId="0" applyAlignment="1" applyBorder="1" applyFont="1">
      <alignment horizontal="left" readingOrder="0" shrinkToFit="0" vertical="top" wrapText="1"/>
    </xf>
  </cellXfs>
  <cellStyles count="1">
    <cellStyle xfId="0" name="Normal" builtinId="0"/>
  </cellStyles>
  <dxfs count="6">
    <dxf>
      <font/>
      <fill>
        <patternFill patternType="solid">
          <fgColor rgb="FFF8C9C9"/>
          <bgColor rgb="FFF8C9C9"/>
        </patternFill>
      </fill>
      <border/>
    </dxf>
    <dxf>
      <font/>
      <fill>
        <patternFill patternType="solid">
          <fgColor rgb="FFFDE1B8"/>
          <bgColor rgb="FFFDE1B8"/>
        </patternFill>
      </fill>
      <border/>
    </dxf>
    <dxf>
      <font/>
      <fill>
        <patternFill patternType="solid">
          <fgColor rgb="FFFFF3B0"/>
          <bgColor rgb="FFFFF3B0"/>
        </patternFill>
      </fill>
      <border/>
    </dxf>
    <dxf>
      <font/>
      <fill>
        <patternFill patternType="solid">
          <fgColor rgb="FFD6ECD2"/>
          <bgColor rgb="FFD6ECD2"/>
        </patternFill>
      </fill>
      <border/>
    </dxf>
    <dxf>
      <font/>
      <fill>
        <patternFill patternType="solid">
          <fgColor rgb="FFE0E0E0"/>
          <bgColor rgb="FFE0E0E0"/>
        </patternFill>
      </fill>
      <border/>
    </dxf>
    <dxf>
      <font/>
      <fill>
        <patternFill patternType="solid">
          <fgColor rgb="FFC6E7C6"/>
          <bgColor rgb="FFC6E7C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20.0"/>
    <col customWidth="1" min="4" max="4" width="13.0"/>
    <col customWidth="1" min="5" max="5" width="60.0"/>
    <col customWidth="1" min="6" max="6" width="50.0"/>
    <col customWidth="1" min="7" max="7" width="14.0"/>
    <col customWidth="1" min="8" max="26" width="8.71"/>
  </cols>
  <sheetData>
    <row r="1" ht="31.5" customHeight="1">
      <c r="A1" s="1" t="s">
        <v>0</v>
      </c>
      <c r="B1" s="1" t="s">
        <v>2</v>
      </c>
      <c r="C1" s="1" t="s">
        <v>3</v>
      </c>
      <c r="D1" s="1" t="s">
        <v>4</v>
      </c>
      <c r="E1" s="1" t="s">
        <v>5</v>
      </c>
      <c r="F1" s="1" t="s">
        <v>7</v>
      </c>
      <c r="G1" s="1" t="s">
        <v>8</v>
      </c>
    </row>
    <row r="2">
      <c r="A2" s="3" t="s">
        <v>11</v>
      </c>
      <c r="B2" s="3" t="s">
        <v>15</v>
      </c>
      <c r="C2" s="6" t="s">
        <v>18</v>
      </c>
      <c r="D2" s="3" t="s">
        <v>25</v>
      </c>
      <c r="E2" s="6" t="s">
        <v>27</v>
      </c>
      <c r="F2" s="6" t="s">
        <v>28</v>
      </c>
      <c r="G2" s="3">
        <f>COUNTIF('Test Cases'!$B:$B,A2)</f>
        <v>15</v>
      </c>
    </row>
    <row r="3">
      <c r="A3" s="3" t="s">
        <v>57</v>
      </c>
      <c r="B3" s="3" t="s">
        <v>15</v>
      </c>
      <c r="C3" s="6" t="s">
        <v>61</v>
      </c>
      <c r="D3" s="3" t="s">
        <v>62</v>
      </c>
      <c r="E3" s="6" t="s">
        <v>64</v>
      </c>
      <c r="F3" s="6" t="s">
        <v>66</v>
      </c>
      <c r="G3" s="3">
        <f>COUNTIF('Test Cases'!$B:$B,A3)</f>
        <v>6</v>
      </c>
    </row>
    <row r="4">
      <c r="A4" s="3" t="s">
        <v>68</v>
      </c>
      <c r="B4" s="3" t="s">
        <v>15</v>
      </c>
      <c r="C4" s="6" t="s">
        <v>69</v>
      </c>
      <c r="D4" s="3" t="s">
        <v>70</v>
      </c>
      <c r="E4" s="6" t="s">
        <v>71</v>
      </c>
      <c r="F4" s="6" t="s">
        <v>73</v>
      </c>
      <c r="G4" s="3">
        <f>COUNTIF('Test Cases'!$B:$B,A4)</f>
        <v>6</v>
      </c>
    </row>
    <row r="5">
      <c r="A5" s="3" t="s">
        <v>77</v>
      </c>
      <c r="B5" s="3" t="s">
        <v>15</v>
      </c>
      <c r="C5" s="6" t="s">
        <v>78</v>
      </c>
      <c r="D5" s="3" t="s">
        <v>79</v>
      </c>
      <c r="E5" s="6" t="s">
        <v>80</v>
      </c>
      <c r="F5" s="6" t="s">
        <v>81</v>
      </c>
      <c r="G5" s="3">
        <f>COUNTIF('Test Cases'!$B:$B,A5)</f>
        <v>14</v>
      </c>
    </row>
    <row r="6">
      <c r="A6" s="3" t="s">
        <v>85</v>
      </c>
      <c r="B6" s="3" t="s">
        <v>55</v>
      </c>
      <c r="C6" s="6" t="s">
        <v>87</v>
      </c>
      <c r="D6" s="3" t="s">
        <v>88</v>
      </c>
      <c r="E6" s="6" t="s">
        <v>90</v>
      </c>
      <c r="F6" s="6" t="s">
        <v>92</v>
      </c>
      <c r="G6" s="3">
        <f>COUNTIF('Test Cases'!$B:$B,A6)</f>
        <v>10</v>
      </c>
    </row>
    <row r="7">
      <c r="A7" s="3" t="s">
        <v>99</v>
      </c>
      <c r="B7" s="3" t="s">
        <v>55</v>
      </c>
      <c r="C7" s="6" t="s">
        <v>100</v>
      </c>
      <c r="D7" s="3" t="s">
        <v>101</v>
      </c>
      <c r="E7" s="6" t="s">
        <v>102</v>
      </c>
      <c r="F7" s="6" t="s">
        <v>103</v>
      </c>
      <c r="G7" s="3">
        <f>COUNTIF('Test Cases'!$B:$B,A7)</f>
        <v>7</v>
      </c>
    </row>
    <row r="8">
      <c r="A8" s="3" t="s">
        <v>110</v>
      </c>
      <c r="B8" s="3" t="s">
        <v>55</v>
      </c>
      <c r="C8" s="6" t="s">
        <v>111</v>
      </c>
      <c r="D8" s="3" t="s">
        <v>113</v>
      </c>
      <c r="E8" s="6" t="s">
        <v>116</v>
      </c>
      <c r="F8" s="6" t="s">
        <v>119</v>
      </c>
      <c r="G8" s="3">
        <f>COUNTIF('Test Cases'!$B:$B,A8)</f>
        <v>12</v>
      </c>
    </row>
    <row r="9">
      <c r="A9" s="3" t="s">
        <v>124</v>
      </c>
      <c r="B9" s="3" t="s">
        <v>55</v>
      </c>
      <c r="C9" s="6" t="s">
        <v>125</v>
      </c>
      <c r="D9" s="3" t="s">
        <v>126</v>
      </c>
      <c r="E9" s="6" t="s">
        <v>127</v>
      </c>
      <c r="F9" s="6" t="s">
        <v>128</v>
      </c>
      <c r="G9" s="3">
        <f>COUNTIF('Test Cases'!$B:$B,A9)</f>
        <v>5</v>
      </c>
    </row>
    <row r="10">
      <c r="A10" s="3" t="s">
        <v>132</v>
      </c>
      <c r="B10" s="3" t="s">
        <v>55</v>
      </c>
      <c r="C10" s="6" t="s">
        <v>135</v>
      </c>
      <c r="D10" s="3" t="s">
        <v>137</v>
      </c>
      <c r="E10" s="6" t="s">
        <v>138</v>
      </c>
      <c r="F10" s="6" t="s">
        <v>139</v>
      </c>
      <c r="G10" s="3">
        <f>COUNTIF('Test Cases'!$B:$B,A10)</f>
        <v>5</v>
      </c>
    </row>
    <row r="11">
      <c r="A11" s="3" t="s">
        <v>142</v>
      </c>
      <c r="B11" s="3" t="s">
        <v>55</v>
      </c>
      <c r="C11" s="6" t="s">
        <v>143</v>
      </c>
      <c r="D11" s="3" t="s">
        <v>144</v>
      </c>
      <c r="E11" s="6" t="s">
        <v>146</v>
      </c>
      <c r="F11" s="6" t="s">
        <v>147</v>
      </c>
      <c r="G11" s="3">
        <f>COUNTIF('Test Cases'!$B:$B,A11)</f>
        <v>6</v>
      </c>
    </row>
    <row r="12">
      <c r="A12" s="3" t="s">
        <v>152</v>
      </c>
      <c r="B12" s="3" t="s">
        <v>153</v>
      </c>
      <c r="C12" s="6" t="s">
        <v>154</v>
      </c>
      <c r="D12" s="3" t="s">
        <v>156</v>
      </c>
      <c r="E12" s="6" t="s">
        <v>157</v>
      </c>
      <c r="F12" s="6" t="s">
        <v>158</v>
      </c>
      <c r="G12" s="3">
        <f>COUNTIF('Test Cases'!$B:$B,A12)</f>
        <v>4</v>
      </c>
    </row>
    <row r="13">
      <c r="A13" s="3" t="s">
        <v>162</v>
      </c>
      <c r="B13" s="3" t="s">
        <v>153</v>
      </c>
      <c r="C13" s="6" t="s">
        <v>163</v>
      </c>
      <c r="D13" s="3" t="s">
        <v>164</v>
      </c>
      <c r="E13" s="6" t="s">
        <v>165</v>
      </c>
      <c r="F13" s="6" t="s">
        <v>166</v>
      </c>
      <c r="G13" s="3">
        <f>COUNTIF('Test Cases'!$B:$B,A13)</f>
        <v>8</v>
      </c>
    </row>
    <row r="14">
      <c r="A14" s="3" t="s">
        <v>172</v>
      </c>
      <c r="B14" s="3" t="s">
        <v>153</v>
      </c>
      <c r="C14" s="6" t="s">
        <v>173</v>
      </c>
      <c r="D14" s="3" t="s">
        <v>174</v>
      </c>
      <c r="E14" s="6" t="s">
        <v>175</v>
      </c>
      <c r="F14" s="6" t="s">
        <v>176</v>
      </c>
      <c r="G14" s="3">
        <f>COUNTIF('Test Cases'!$B:$B,A14)</f>
        <v>4</v>
      </c>
    </row>
    <row r="15">
      <c r="A15" s="3" t="s">
        <v>192</v>
      </c>
      <c r="B15" s="3" t="s">
        <v>153</v>
      </c>
      <c r="C15" s="6" t="s">
        <v>194</v>
      </c>
      <c r="D15" s="3" t="s">
        <v>195</v>
      </c>
      <c r="E15" s="6" t="s">
        <v>196</v>
      </c>
      <c r="F15" s="6" t="s">
        <v>198</v>
      </c>
      <c r="G15" s="3">
        <f>COUNTIF('Test Cases'!$B:$B,A15)</f>
        <v>4</v>
      </c>
    </row>
    <row r="16">
      <c r="A16" s="3" t="s">
        <v>202</v>
      </c>
      <c r="B16" s="3" t="s">
        <v>153</v>
      </c>
      <c r="C16" s="6" t="s">
        <v>203</v>
      </c>
      <c r="D16" s="3" t="s">
        <v>205</v>
      </c>
      <c r="E16" s="6" t="s">
        <v>207</v>
      </c>
      <c r="F16" s="6" t="s">
        <v>208</v>
      </c>
      <c r="G16" s="3">
        <f>COUNTIF('Test Cases'!$B:$B,A16)</f>
        <v>4</v>
      </c>
    </row>
    <row r="17">
      <c r="A17" s="3" t="s">
        <v>212</v>
      </c>
      <c r="B17" s="3" t="s">
        <v>153</v>
      </c>
      <c r="C17" s="6" t="s">
        <v>214</v>
      </c>
      <c r="D17" s="3" t="s">
        <v>205</v>
      </c>
      <c r="E17" s="6" t="s">
        <v>215</v>
      </c>
      <c r="F17" s="6" t="s">
        <v>217</v>
      </c>
      <c r="G17" s="3">
        <f>COUNTIF('Test Cases'!$B:$B,A17)</f>
        <v>1</v>
      </c>
    </row>
    <row r="18">
      <c r="A18" s="3" t="s">
        <v>226</v>
      </c>
      <c r="B18" s="3" t="s">
        <v>228</v>
      </c>
      <c r="C18" s="6" t="s">
        <v>229</v>
      </c>
      <c r="D18" s="3" t="s">
        <v>205</v>
      </c>
      <c r="E18" s="6" t="s">
        <v>232</v>
      </c>
      <c r="F18" s="6" t="s">
        <v>234</v>
      </c>
      <c r="G18" s="3">
        <f>COUNTIF('Test Cases'!$B:$B,A18)</f>
        <v>3</v>
      </c>
    </row>
    <row r="19">
      <c r="A19" s="3" t="s">
        <v>240</v>
      </c>
      <c r="B19" s="3" t="s">
        <v>228</v>
      </c>
      <c r="C19" s="6" t="s">
        <v>241</v>
      </c>
      <c r="D19" s="3" t="s">
        <v>205</v>
      </c>
      <c r="E19" s="6" t="s">
        <v>243</v>
      </c>
      <c r="F19" s="6" t="s">
        <v>244</v>
      </c>
      <c r="G19" s="3">
        <f>COUNTIF('Test Cases'!$B:$B,A19)</f>
        <v>3</v>
      </c>
    </row>
    <row r="20">
      <c r="F20" s="16" t="s">
        <v>44</v>
      </c>
      <c r="G20" s="17">
        <f>SUM(G2:G19)</f>
        <v>117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9"/>
  <conditionalFormatting sqref="B2:B19">
    <cfRule type="cellIs" dxfId="0" priority="1" operator="equal">
      <formula>"Critical"</formula>
    </cfRule>
  </conditionalFormatting>
  <conditionalFormatting sqref="B2:B19">
    <cfRule type="cellIs" dxfId="1" priority="2" operator="equal">
      <formula>"High"</formula>
    </cfRule>
  </conditionalFormatting>
  <conditionalFormatting sqref="B2:B19">
    <cfRule type="cellIs" dxfId="2" priority="3" operator="equal">
      <formula>"Medium"</formula>
    </cfRule>
  </conditionalFormatting>
  <conditionalFormatting sqref="B2:B19">
    <cfRule type="cellIs" dxfId="3" priority="4" operator="equal">
      <formula>"Low"</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18.0"/>
    <col customWidth="1" min="4" max="4" width="12.0"/>
    <col customWidth="1" min="5" max="5" width="10.0"/>
    <col customWidth="1" min="6" max="6" width="42.0"/>
    <col customWidth="1" min="7" max="7" width="11.0"/>
    <col customWidth="1" min="8" max="8" width="34.0"/>
    <col customWidth="1" min="9" max="9" width="52.0"/>
    <col customWidth="1" min="10" max="10" width="38.0"/>
    <col customWidth="1" min="11" max="11" width="46.0"/>
    <col customWidth="1" min="12" max="12" width="34.0"/>
    <col customWidth="1" min="13" max="13" width="12.0"/>
    <col customWidth="1" min="14" max="14" width="11.0"/>
    <col customWidth="1" min="15" max="16" width="13.0"/>
    <col customWidth="1" min="17" max="17" width="42.0"/>
    <col customWidth="1" min="18" max="26" width="8.71"/>
  </cols>
  <sheetData>
    <row r="1" ht="31.5" customHeight="1">
      <c r="A1" s="1" t="s">
        <v>1</v>
      </c>
      <c r="B1" s="1" t="s">
        <v>0</v>
      </c>
      <c r="C1" s="1" t="s">
        <v>3</v>
      </c>
      <c r="D1" s="1" t="s">
        <v>4</v>
      </c>
      <c r="E1" s="1" t="s">
        <v>2</v>
      </c>
      <c r="F1" s="1" t="s">
        <v>13</v>
      </c>
      <c r="G1" s="1" t="s">
        <v>14</v>
      </c>
      <c r="H1" s="1" t="s">
        <v>16</v>
      </c>
      <c r="I1" s="1" t="s">
        <v>19</v>
      </c>
      <c r="J1" s="1" t="s">
        <v>20</v>
      </c>
      <c r="K1" s="1" t="s">
        <v>22</v>
      </c>
      <c r="L1" s="1" t="s">
        <v>23</v>
      </c>
      <c r="M1" s="1" t="s">
        <v>26</v>
      </c>
      <c r="N1" s="1" t="s">
        <v>6</v>
      </c>
      <c r="O1" s="1" t="s">
        <v>30</v>
      </c>
      <c r="P1" s="1" t="s">
        <v>32</v>
      </c>
      <c r="Q1" s="1" t="s">
        <v>33</v>
      </c>
    </row>
    <row r="2">
      <c r="A2" s="3" t="s">
        <v>35</v>
      </c>
      <c r="B2" s="3" t="s">
        <v>11</v>
      </c>
      <c r="C2" s="6" t="s">
        <v>18</v>
      </c>
      <c r="D2" s="3" t="s">
        <v>25</v>
      </c>
      <c r="E2" s="3" t="s">
        <v>15</v>
      </c>
      <c r="F2" s="6" t="s">
        <v>47</v>
      </c>
      <c r="G2" s="3" t="s">
        <v>48</v>
      </c>
      <c r="H2" s="6" t="s">
        <v>50</v>
      </c>
      <c r="I2" s="6" t="s">
        <v>51</v>
      </c>
      <c r="J2" s="6" t="s">
        <v>52</v>
      </c>
      <c r="K2" s="6" t="s">
        <v>53</v>
      </c>
      <c r="L2" s="10" t="s">
        <v>53</v>
      </c>
      <c r="M2" s="9" t="s">
        <v>59</v>
      </c>
      <c r="N2" s="11"/>
      <c r="O2" s="8" t="s">
        <v>75</v>
      </c>
      <c r="P2" s="9" t="s">
        <v>72</v>
      </c>
      <c r="Q2" s="6"/>
    </row>
    <row r="3">
      <c r="A3" s="3" t="s">
        <v>76</v>
      </c>
      <c r="B3" s="3" t="s">
        <v>11</v>
      </c>
      <c r="C3" s="6" t="s">
        <v>18</v>
      </c>
      <c r="D3" s="3" t="s">
        <v>25</v>
      </c>
      <c r="E3" s="3" t="s">
        <v>15</v>
      </c>
      <c r="F3" s="6" t="s">
        <v>86</v>
      </c>
      <c r="G3" s="3" t="s">
        <v>89</v>
      </c>
      <c r="H3" s="6" t="s">
        <v>91</v>
      </c>
      <c r="I3" s="6" t="s">
        <v>93</v>
      </c>
      <c r="J3" s="6" t="s">
        <v>94</v>
      </c>
      <c r="K3" s="6" t="s">
        <v>97</v>
      </c>
      <c r="L3" s="8" t="s">
        <v>97</v>
      </c>
      <c r="M3" s="9" t="s">
        <v>59</v>
      </c>
      <c r="N3" s="11"/>
      <c r="O3" s="8" t="s">
        <v>75</v>
      </c>
      <c r="P3" s="9" t="s">
        <v>72</v>
      </c>
      <c r="Q3" s="6"/>
    </row>
    <row r="4">
      <c r="A4" s="3" t="s">
        <v>106</v>
      </c>
      <c r="B4" s="3" t="s">
        <v>11</v>
      </c>
      <c r="C4" s="6" t="s">
        <v>18</v>
      </c>
      <c r="D4" s="3" t="s">
        <v>25</v>
      </c>
      <c r="E4" s="3" t="s">
        <v>15</v>
      </c>
      <c r="F4" s="6" t="s">
        <v>109</v>
      </c>
      <c r="G4" s="3" t="s">
        <v>89</v>
      </c>
      <c r="H4" s="6" t="s">
        <v>91</v>
      </c>
      <c r="I4" s="6" t="s">
        <v>115</v>
      </c>
      <c r="J4" s="6" t="s">
        <v>118</v>
      </c>
      <c r="K4" s="6" t="s">
        <v>120</v>
      </c>
      <c r="L4" s="8" t="s">
        <v>120</v>
      </c>
      <c r="M4" s="9" t="s">
        <v>59</v>
      </c>
      <c r="N4" s="11"/>
      <c r="O4" s="8" t="s">
        <v>75</v>
      </c>
      <c r="P4" s="9" t="s">
        <v>72</v>
      </c>
      <c r="Q4" s="6"/>
    </row>
    <row r="5">
      <c r="A5" s="3" t="s">
        <v>123</v>
      </c>
      <c r="B5" s="3" t="s">
        <v>11</v>
      </c>
      <c r="C5" s="6" t="s">
        <v>18</v>
      </c>
      <c r="D5" s="3" t="s">
        <v>25</v>
      </c>
      <c r="E5" s="3" t="s">
        <v>15</v>
      </c>
      <c r="F5" s="6" t="s">
        <v>129</v>
      </c>
      <c r="G5" s="3" t="s">
        <v>89</v>
      </c>
      <c r="H5" s="6" t="s">
        <v>91</v>
      </c>
      <c r="I5" s="6" t="s">
        <v>131</v>
      </c>
      <c r="J5" s="6" t="s">
        <v>133</v>
      </c>
      <c r="K5" s="6" t="s">
        <v>134</v>
      </c>
      <c r="L5" s="8" t="s">
        <v>134</v>
      </c>
      <c r="M5" s="9" t="s">
        <v>59</v>
      </c>
      <c r="N5" s="11"/>
      <c r="O5" s="8" t="s">
        <v>75</v>
      </c>
      <c r="P5" s="9" t="s">
        <v>72</v>
      </c>
      <c r="Q5" s="6"/>
    </row>
    <row r="6">
      <c r="A6" s="3" t="s">
        <v>140</v>
      </c>
      <c r="B6" s="3" t="s">
        <v>11</v>
      </c>
      <c r="C6" s="6" t="s">
        <v>18</v>
      </c>
      <c r="D6" s="3" t="s">
        <v>25</v>
      </c>
      <c r="E6" s="3" t="s">
        <v>15</v>
      </c>
      <c r="F6" s="6" t="s">
        <v>148</v>
      </c>
      <c r="G6" s="3" t="s">
        <v>149</v>
      </c>
      <c r="H6" s="6" t="s">
        <v>91</v>
      </c>
      <c r="I6" s="6" t="s">
        <v>150</v>
      </c>
      <c r="J6" s="6" t="s">
        <v>151</v>
      </c>
      <c r="K6" s="6" t="s">
        <v>65</v>
      </c>
      <c r="L6" s="8" t="s">
        <v>65</v>
      </c>
      <c r="M6" s="9" t="s">
        <v>59</v>
      </c>
      <c r="N6" s="11"/>
      <c r="O6" s="8" t="s">
        <v>75</v>
      </c>
      <c r="P6" s="9" t="s">
        <v>72</v>
      </c>
      <c r="Q6" s="6"/>
    </row>
    <row r="7">
      <c r="A7" s="3" t="s">
        <v>159</v>
      </c>
      <c r="B7" s="3" t="s">
        <v>11</v>
      </c>
      <c r="C7" s="6" t="s">
        <v>18</v>
      </c>
      <c r="D7" s="3" t="s">
        <v>25</v>
      </c>
      <c r="E7" s="3" t="s">
        <v>15</v>
      </c>
      <c r="F7" s="6" t="s">
        <v>161</v>
      </c>
      <c r="G7" s="3" t="s">
        <v>149</v>
      </c>
      <c r="H7" s="6" t="s">
        <v>91</v>
      </c>
      <c r="I7" s="6" t="s">
        <v>167</v>
      </c>
      <c r="J7" s="6" t="s">
        <v>168</v>
      </c>
      <c r="K7" s="6" t="s">
        <v>169</v>
      </c>
      <c r="L7" s="8" t="s">
        <v>169</v>
      </c>
      <c r="M7" s="9" t="s">
        <v>59</v>
      </c>
      <c r="N7" s="11"/>
      <c r="O7" s="8" t="s">
        <v>75</v>
      </c>
      <c r="P7" s="9" t="s">
        <v>72</v>
      </c>
      <c r="Q7" s="6"/>
    </row>
    <row r="8">
      <c r="A8" s="3" t="s">
        <v>171</v>
      </c>
      <c r="B8" s="3" t="s">
        <v>11</v>
      </c>
      <c r="C8" s="6" t="s">
        <v>18</v>
      </c>
      <c r="D8" s="3" t="s">
        <v>25</v>
      </c>
      <c r="E8" s="3" t="s">
        <v>15</v>
      </c>
      <c r="F8" s="6" t="s">
        <v>178</v>
      </c>
      <c r="G8" s="3" t="s">
        <v>149</v>
      </c>
      <c r="H8" s="6" t="s">
        <v>91</v>
      </c>
      <c r="I8" s="6" t="s">
        <v>179</v>
      </c>
      <c r="J8" s="6" t="s">
        <v>180</v>
      </c>
      <c r="K8" s="6" t="s">
        <v>65</v>
      </c>
      <c r="L8" s="8" t="s">
        <v>181</v>
      </c>
      <c r="M8" s="9" t="s">
        <v>107</v>
      </c>
      <c r="N8" s="9" t="s">
        <v>45</v>
      </c>
      <c r="O8" s="8" t="s">
        <v>75</v>
      </c>
      <c r="P8" s="9" t="s">
        <v>72</v>
      </c>
      <c r="Q8" s="6"/>
    </row>
    <row r="9">
      <c r="A9" s="3" t="s">
        <v>183</v>
      </c>
      <c r="B9" s="3" t="s">
        <v>11</v>
      </c>
      <c r="C9" s="6" t="s">
        <v>18</v>
      </c>
      <c r="D9" s="3" t="s">
        <v>25</v>
      </c>
      <c r="E9" s="3" t="s">
        <v>15</v>
      </c>
      <c r="F9" s="6" t="s">
        <v>186</v>
      </c>
      <c r="G9" s="3" t="s">
        <v>89</v>
      </c>
      <c r="H9" s="6" t="s">
        <v>91</v>
      </c>
      <c r="I9" s="6" t="s">
        <v>187</v>
      </c>
      <c r="J9" s="6" t="s">
        <v>188</v>
      </c>
      <c r="K9" s="6" t="s">
        <v>96</v>
      </c>
      <c r="L9" s="8" t="s">
        <v>189</v>
      </c>
      <c r="M9" s="9" t="s">
        <v>107</v>
      </c>
      <c r="N9" s="10" t="s">
        <v>191</v>
      </c>
      <c r="O9" s="8" t="s">
        <v>75</v>
      </c>
      <c r="P9" s="9" t="s">
        <v>72</v>
      </c>
      <c r="Q9" s="6"/>
    </row>
    <row r="10">
      <c r="A10" s="3" t="s">
        <v>84</v>
      </c>
      <c r="B10" s="3" t="s">
        <v>11</v>
      </c>
      <c r="C10" s="6" t="s">
        <v>18</v>
      </c>
      <c r="D10" s="3" t="s">
        <v>25</v>
      </c>
      <c r="E10" s="3" t="s">
        <v>15</v>
      </c>
      <c r="F10" s="6" t="s">
        <v>199</v>
      </c>
      <c r="G10" s="3" t="s">
        <v>89</v>
      </c>
      <c r="H10" s="6" t="s">
        <v>91</v>
      </c>
      <c r="I10" s="6" t="s">
        <v>200</v>
      </c>
      <c r="J10" s="6" t="s">
        <v>201</v>
      </c>
      <c r="K10" s="6" t="s">
        <v>204</v>
      </c>
      <c r="L10" s="8" t="s">
        <v>206</v>
      </c>
      <c r="M10" s="9" t="s">
        <v>107</v>
      </c>
      <c r="N10" s="10" t="s">
        <v>210</v>
      </c>
      <c r="O10" s="8" t="s">
        <v>75</v>
      </c>
      <c r="P10" s="9" t="s">
        <v>72</v>
      </c>
      <c r="Q10" s="6"/>
    </row>
    <row r="11">
      <c r="A11" s="3" t="s">
        <v>211</v>
      </c>
      <c r="B11" s="3" t="s">
        <v>11</v>
      </c>
      <c r="C11" s="6" t="s">
        <v>18</v>
      </c>
      <c r="D11" s="3" t="s">
        <v>25</v>
      </c>
      <c r="E11" s="3" t="s">
        <v>15</v>
      </c>
      <c r="F11" s="6" t="s">
        <v>225</v>
      </c>
      <c r="G11" s="3" t="s">
        <v>89</v>
      </c>
      <c r="H11" s="6" t="s">
        <v>91</v>
      </c>
      <c r="I11" s="6" t="s">
        <v>230</v>
      </c>
      <c r="J11" s="6" t="s">
        <v>233</v>
      </c>
      <c r="K11" s="6" t="s">
        <v>235</v>
      </c>
      <c r="L11" s="8" t="s">
        <v>235</v>
      </c>
      <c r="M11" s="9" t="s">
        <v>59</v>
      </c>
      <c r="N11" s="11"/>
      <c r="O11" s="8" t="s">
        <v>75</v>
      </c>
      <c r="P11" s="9" t="s">
        <v>72</v>
      </c>
      <c r="Q11" s="6"/>
    </row>
    <row r="12">
      <c r="A12" s="3" t="s">
        <v>242</v>
      </c>
      <c r="B12" s="3" t="s">
        <v>11</v>
      </c>
      <c r="C12" s="6" t="s">
        <v>18</v>
      </c>
      <c r="D12" s="3" t="s">
        <v>25</v>
      </c>
      <c r="E12" s="3" t="s">
        <v>15</v>
      </c>
      <c r="F12" s="6" t="s">
        <v>245</v>
      </c>
      <c r="G12" s="3" t="s">
        <v>89</v>
      </c>
      <c r="H12" s="6" t="s">
        <v>91</v>
      </c>
      <c r="I12" s="6" t="s">
        <v>246</v>
      </c>
      <c r="J12" s="6" t="s">
        <v>247</v>
      </c>
      <c r="K12" s="6" t="s">
        <v>248</v>
      </c>
      <c r="L12" s="8" t="s">
        <v>248</v>
      </c>
      <c r="M12" s="9" t="s">
        <v>59</v>
      </c>
      <c r="N12" s="11"/>
      <c r="O12" s="8" t="s">
        <v>75</v>
      </c>
      <c r="P12" s="9" t="s">
        <v>72</v>
      </c>
      <c r="Q12" s="6"/>
    </row>
    <row r="13">
      <c r="A13" s="3" t="s">
        <v>250</v>
      </c>
      <c r="B13" s="3" t="s">
        <v>11</v>
      </c>
      <c r="C13" s="6" t="s">
        <v>18</v>
      </c>
      <c r="D13" s="3" t="s">
        <v>25</v>
      </c>
      <c r="E13" s="3" t="s">
        <v>15</v>
      </c>
      <c r="F13" s="6" t="s">
        <v>252</v>
      </c>
      <c r="G13" s="3" t="s">
        <v>89</v>
      </c>
      <c r="H13" s="6" t="s">
        <v>91</v>
      </c>
      <c r="I13" s="6" t="s">
        <v>253</v>
      </c>
      <c r="J13" s="6" t="s">
        <v>254</v>
      </c>
      <c r="K13" s="6" t="s">
        <v>255</v>
      </c>
      <c r="L13" s="8" t="s">
        <v>255</v>
      </c>
      <c r="M13" s="9" t="s">
        <v>59</v>
      </c>
      <c r="N13" s="11"/>
      <c r="O13" s="8" t="s">
        <v>75</v>
      </c>
      <c r="P13" s="9" t="s">
        <v>257</v>
      </c>
      <c r="Q13" s="6"/>
    </row>
    <row r="14">
      <c r="A14" s="3" t="s">
        <v>258</v>
      </c>
      <c r="B14" s="3" t="s">
        <v>11</v>
      </c>
      <c r="C14" s="6" t="s">
        <v>18</v>
      </c>
      <c r="D14" s="3" t="s">
        <v>25</v>
      </c>
      <c r="E14" s="3" t="s">
        <v>15</v>
      </c>
      <c r="F14" s="6" t="s">
        <v>259</v>
      </c>
      <c r="G14" s="3" t="s">
        <v>89</v>
      </c>
      <c r="H14" s="6" t="s">
        <v>91</v>
      </c>
      <c r="I14" s="6" t="s">
        <v>261</v>
      </c>
      <c r="J14" s="6" t="s">
        <v>262</v>
      </c>
      <c r="K14" s="6" t="s">
        <v>263</v>
      </c>
      <c r="L14" s="8" t="s">
        <v>263</v>
      </c>
      <c r="M14" s="9" t="s">
        <v>59</v>
      </c>
      <c r="N14" s="11"/>
      <c r="O14" s="8" t="s">
        <v>75</v>
      </c>
      <c r="P14" s="9" t="s">
        <v>257</v>
      </c>
      <c r="Q14" s="6"/>
    </row>
    <row r="15">
      <c r="A15" s="3" t="s">
        <v>264</v>
      </c>
      <c r="B15" s="3" t="s">
        <v>11</v>
      </c>
      <c r="C15" s="6" t="s">
        <v>18</v>
      </c>
      <c r="D15" s="3" t="s">
        <v>25</v>
      </c>
      <c r="E15" s="3" t="s">
        <v>15</v>
      </c>
      <c r="F15" s="6" t="s">
        <v>266</v>
      </c>
      <c r="G15" s="3" t="s">
        <v>48</v>
      </c>
      <c r="H15" s="6" t="s">
        <v>267</v>
      </c>
      <c r="I15" s="6" t="s">
        <v>268</v>
      </c>
      <c r="J15" s="6" t="s">
        <v>269</v>
      </c>
      <c r="K15" s="6" t="s">
        <v>271</v>
      </c>
      <c r="L15" s="8" t="s">
        <v>271</v>
      </c>
      <c r="M15" s="9" t="s">
        <v>59</v>
      </c>
      <c r="N15" s="11"/>
      <c r="O15" s="8" t="s">
        <v>75</v>
      </c>
      <c r="P15" s="9" t="s">
        <v>257</v>
      </c>
      <c r="Q15" s="6"/>
    </row>
    <row r="16">
      <c r="A16" s="3" t="s">
        <v>272</v>
      </c>
      <c r="B16" s="3" t="s">
        <v>11</v>
      </c>
      <c r="C16" s="6" t="s">
        <v>18</v>
      </c>
      <c r="D16" s="3" t="s">
        <v>25</v>
      </c>
      <c r="E16" s="3" t="s">
        <v>15</v>
      </c>
      <c r="F16" s="6" t="s">
        <v>273</v>
      </c>
      <c r="G16" s="3" t="s">
        <v>48</v>
      </c>
      <c r="H16" s="6" t="s">
        <v>267</v>
      </c>
      <c r="I16" s="6" t="s">
        <v>275</v>
      </c>
      <c r="J16" s="6" t="s">
        <v>276</v>
      </c>
      <c r="K16" s="6" t="s">
        <v>277</v>
      </c>
      <c r="L16" s="8" t="s">
        <v>277</v>
      </c>
      <c r="M16" s="9" t="s">
        <v>59</v>
      </c>
      <c r="N16" s="11"/>
      <c r="O16" s="8" t="s">
        <v>75</v>
      </c>
      <c r="P16" s="9" t="s">
        <v>257</v>
      </c>
      <c r="Q16" s="6"/>
    </row>
    <row r="17">
      <c r="A17" s="3" t="s">
        <v>278</v>
      </c>
      <c r="B17" s="3" t="s">
        <v>57</v>
      </c>
      <c r="C17" s="6" t="s">
        <v>61</v>
      </c>
      <c r="D17" s="3" t="s">
        <v>62</v>
      </c>
      <c r="E17" s="3" t="s">
        <v>15</v>
      </c>
      <c r="F17" s="6" t="s">
        <v>280</v>
      </c>
      <c r="G17" s="3" t="s">
        <v>48</v>
      </c>
      <c r="H17" s="6" t="s">
        <v>91</v>
      </c>
      <c r="I17" s="6" t="s">
        <v>281</v>
      </c>
      <c r="J17" s="6" t="s">
        <v>282</v>
      </c>
      <c r="K17" s="6" t="s">
        <v>283</v>
      </c>
      <c r="L17" s="8" t="s">
        <v>283</v>
      </c>
      <c r="M17" s="9" t="s">
        <v>59</v>
      </c>
      <c r="N17" s="11"/>
      <c r="O17" s="8" t="s">
        <v>75</v>
      </c>
      <c r="P17" s="9" t="s">
        <v>257</v>
      </c>
      <c r="Q17" s="6"/>
    </row>
    <row r="18">
      <c r="A18" s="3" t="s">
        <v>284</v>
      </c>
      <c r="B18" s="3" t="s">
        <v>57</v>
      </c>
      <c r="C18" s="6" t="s">
        <v>61</v>
      </c>
      <c r="D18" s="3" t="s">
        <v>62</v>
      </c>
      <c r="E18" s="3" t="s">
        <v>15</v>
      </c>
      <c r="F18" s="6" t="s">
        <v>286</v>
      </c>
      <c r="G18" s="3" t="s">
        <v>48</v>
      </c>
      <c r="H18" s="6" t="s">
        <v>91</v>
      </c>
      <c r="I18" s="6" t="s">
        <v>287</v>
      </c>
      <c r="J18" s="6" t="s">
        <v>282</v>
      </c>
      <c r="K18" s="6" t="s">
        <v>288</v>
      </c>
      <c r="L18" s="8" t="s">
        <v>288</v>
      </c>
      <c r="M18" s="9" t="s">
        <v>59</v>
      </c>
      <c r="N18" s="11"/>
      <c r="O18" s="8" t="s">
        <v>75</v>
      </c>
      <c r="P18" s="9" t="s">
        <v>257</v>
      </c>
      <c r="Q18" s="6"/>
    </row>
    <row r="19">
      <c r="A19" s="3" t="s">
        <v>290</v>
      </c>
      <c r="B19" s="3" t="s">
        <v>57</v>
      </c>
      <c r="C19" s="6" t="s">
        <v>61</v>
      </c>
      <c r="D19" s="3" t="s">
        <v>62</v>
      </c>
      <c r="E19" s="3" t="s">
        <v>15</v>
      </c>
      <c r="F19" s="6" t="s">
        <v>291</v>
      </c>
      <c r="G19" s="3" t="s">
        <v>48</v>
      </c>
      <c r="H19" s="6" t="s">
        <v>267</v>
      </c>
      <c r="I19" s="6" t="s">
        <v>293</v>
      </c>
      <c r="J19" s="6" t="s">
        <v>294</v>
      </c>
      <c r="K19" s="6" t="s">
        <v>295</v>
      </c>
      <c r="L19" s="8" t="s">
        <v>295</v>
      </c>
      <c r="M19" s="9" t="s">
        <v>59</v>
      </c>
      <c r="N19" s="11"/>
      <c r="O19" s="8" t="s">
        <v>75</v>
      </c>
      <c r="P19" s="9" t="s">
        <v>257</v>
      </c>
      <c r="Q19" s="6"/>
    </row>
    <row r="20">
      <c r="A20" s="3" t="s">
        <v>296</v>
      </c>
      <c r="B20" s="3" t="s">
        <v>57</v>
      </c>
      <c r="C20" s="6" t="s">
        <v>61</v>
      </c>
      <c r="D20" s="3" t="s">
        <v>62</v>
      </c>
      <c r="E20" s="3" t="s">
        <v>15</v>
      </c>
      <c r="F20" s="6" t="s">
        <v>298</v>
      </c>
      <c r="G20" s="3" t="s">
        <v>48</v>
      </c>
      <c r="H20" s="6" t="s">
        <v>267</v>
      </c>
      <c r="I20" s="6" t="s">
        <v>299</v>
      </c>
      <c r="J20" s="6" t="s">
        <v>282</v>
      </c>
      <c r="K20" s="6" t="s">
        <v>300</v>
      </c>
      <c r="L20" s="8" t="s">
        <v>300</v>
      </c>
      <c r="M20" s="9" t="s">
        <v>59</v>
      </c>
      <c r="N20" s="11"/>
      <c r="O20" s="8" t="s">
        <v>75</v>
      </c>
      <c r="P20" s="9" t="s">
        <v>257</v>
      </c>
      <c r="Q20" s="6"/>
    </row>
    <row r="21" ht="15.75" customHeight="1">
      <c r="A21" s="3" t="s">
        <v>301</v>
      </c>
      <c r="B21" s="3" t="s">
        <v>57</v>
      </c>
      <c r="C21" s="6" t="s">
        <v>61</v>
      </c>
      <c r="D21" s="3" t="s">
        <v>62</v>
      </c>
      <c r="E21" s="3" t="s">
        <v>15</v>
      </c>
      <c r="F21" s="6" t="s">
        <v>303</v>
      </c>
      <c r="G21" s="3" t="s">
        <v>48</v>
      </c>
      <c r="H21" s="6" t="s">
        <v>267</v>
      </c>
      <c r="I21" s="6" t="s">
        <v>304</v>
      </c>
      <c r="J21" s="6" t="s">
        <v>282</v>
      </c>
      <c r="K21" s="6" t="s">
        <v>305</v>
      </c>
      <c r="L21" s="8" t="s">
        <v>305</v>
      </c>
      <c r="M21" s="9" t="s">
        <v>59</v>
      </c>
      <c r="N21" s="11"/>
      <c r="O21" s="8" t="s">
        <v>75</v>
      </c>
      <c r="P21" s="9" t="s">
        <v>257</v>
      </c>
      <c r="Q21" s="6"/>
    </row>
    <row r="22" ht="15.75" customHeight="1">
      <c r="A22" s="3" t="s">
        <v>307</v>
      </c>
      <c r="B22" s="3" t="s">
        <v>57</v>
      </c>
      <c r="C22" s="6" t="s">
        <v>61</v>
      </c>
      <c r="D22" s="3" t="s">
        <v>62</v>
      </c>
      <c r="E22" s="3" t="s">
        <v>15</v>
      </c>
      <c r="F22" s="6" t="s">
        <v>308</v>
      </c>
      <c r="G22" s="3" t="s">
        <v>89</v>
      </c>
      <c r="H22" s="6" t="s">
        <v>91</v>
      </c>
      <c r="I22" s="6" t="s">
        <v>309</v>
      </c>
      <c r="J22" s="6" t="s">
        <v>282</v>
      </c>
      <c r="K22" s="6" t="s">
        <v>311</v>
      </c>
      <c r="L22" s="8" t="s">
        <v>311</v>
      </c>
      <c r="M22" s="9" t="s">
        <v>59</v>
      </c>
      <c r="N22" s="11"/>
      <c r="O22" s="8" t="s">
        <v>75</v>
      </c>
      <c r="P22" s="9" t="s">
        <v>257</v>
      </c>
      <c r="Q22" s="6" t="s">
        <v>312</v>
      </c>
    </row>
    <row r="23" ht="15.75" customHeight="1">
      <c r="A23" s="3" t="s">
        <v>313</v>
      </c>
      <c r="B23" s="3" t="s">
        <v>68</v>
      </c>
      <c r="C23" s="6" t="s">
        <v>69</v>
      </c>
      <c r="D23" s="3" t="s">
        <v>70</v>
      </c>
      <c r="E23" s="3" t="s">
        <v>15</v>
      </c>
      <c r="F23" s="6" t="s">
        <v>315</v>
      </c>
      <c r="G23" s="3" t="s">
        <v>48</v>
      </c>
      <c r="H23" s="6" t="s">
        <v>316</v>
      </c>
      <c r="I23" s="6" t="s">
        <v>317</v>
      </c>
      <c r="J23" s="6" t="s">
        <v>318</v>
      </c>
      <c r="K23" s="6" t="s">
        <v>319</v>
      </c>
      <c r="L23" s="8" t="s">
        <v>319</v>
      </c>
      <c r="M23" s="9" t="s">
        <v>59</v>
      </c>
      <c r="N23" s="11"/>
      <c r="O23" s="8" t="s">
        <v>75</v>
      </c>
      <c r="P23" s="9" t="s">
        <v>257</v>
      </c>
      <c r="Q23" s="6"/>
    </row>
    <row r="24" ht="15.75" customHeight="1">
      <c r="A24" s="3" t="s">
        <v>320</v>
      </c>
      <c r="B24" s="3" t="s">
        <v>68</v>
      </c>
      <c r="C24" s="6" t="s">
        <v>69</v>
      </c>
      <c r="D24" s="3" t="s">
        <v>70</v>
      </c>
      <c r="E24" s="3" t="s">
        <v>15</v>
      </c>
      <c r="F24" s="6" t="s">
        <v>322</v>
      </c>
      <c r="G24" s="3" t="s">
        <v>48</v>
      </c>
      <c r="H24" s="6" t="s">
        <v>316</v>
      </c>
      <c r="I24" s="6" t="s">
        <v>323</v>
      </c>
      <c r="J24" s="6" t="s">
        <v>324</v>
      </c>
      <c r="K24" s="6" t="s">
        <v>325</v>
      </c>
      <c r="L24" s="8" t="s">
        <v>325</v>
      </c>
      <c r="M24" s="9" t="s">
        <v>59</v>
      </c>
      <c r="N24" s="11"/>
      <c r="O24" s="8" t="s">
        <v>75</v>
      </c>
      <c r="P24" s="9" t="s">
        <v>257</v>
      </c>
      <c r="Q24" s="6"/>
    </row>
    <row r="25" ht="15.75" customHeight="1">
      <c r="A25" s="3" t="s">
        <v>327</v>
      </c>
      <c r="B25" s="3" t="s">
        <v>68</v>
      </c>
      <c r="C25" s="6" t="s">
        <v>69</v>
      </c>
      <c r="D25" s="3" t="s">
        <v>70</v>
      </c>
      <c r="E25" s="3" t="s">
        <v>15</v>
      </c>
      <c r="F25" s="6" t="s">
        <v>328</v>
      </c>
      <c r="G25" s="3" t="s">
        <v>48</v>
      </c>
      <c r="H25" s="6" t="s">
        <v>316</v>
      </c>
      <c r="I25" s="6" t="s">
        <v>330</v>
      </c>
      <c r="J25" s="6" t="s">
        <v>331</v>
      </c>
      <c r="K25" s="6" t="s">
        <v>332</v>
      </c>
      <c r="L25" s="8" t="s">
        <v>332</v>
      </c>
      <c r="M25" s="9" t="s">
        <v>59</v>
      </c>
      <c r="N25" s="11"/>
      <c r="O25" s="8" t="s">
        <v>75</v>
      </c>
      <c r="P25" s="9" t="s">
        <v>257</v>
      </c>
      <c r="Q25" s="6"/>
    </row>
    <row r="26" ht="15.75" customHeight="1">
      <c r="A26" s="3" t="s">
        <v>333</v>
      </c>
      <c r="B26" s="3" t="s">
        <v>68</v>
      </c>
      <c r="C26" s="6" t="s">
        <v>69</v>
      </c>
      <c r="D26" s="3" t="s">
        <v>70</v>
      </c>
      <c r="E26" s="3" t="s">
        <v>15</v>
      </c>
      <c r="F26" s="6" t="s">
        <v>335</v>
      </c>
      <c r="G26" s="3" t="s">
        <v>48</v>
      </c>
      <c r="H26" s="6" t="s">
        <v>316</v>
      </c>
      <c r="I26" s="6" t="s">
        <v>336</v>
      </c>
      <c r="J26" s="6" t="s">
        <v>337</v>
      </c>
      <c r="K26" s="6" t="s">
        <v>338</v>
      </c>
      <c r="L26" s="8" t="s">
        <v>338</v>
      </c>
      <c r="M26" s="9" t="s">
        <v>59</v>
      </c>
      <c r="N26" s="11"/>
      <c r="O26" s="8" t="s">
        <v>75</v>
      </c>
      <c r="P26" s="9" t="s">
        <v>257</v>
      </c>
      <c r="Q26" s="6"/>
    </row>
    <row r="27" ht="15.75" customHeight="1">
      <c r="A27" s="3" t="s">
        <v>340</v>
      </c>
      <c r="B27" s="3" t="s">
        <v>68</v>
      </c>
      <c r="C27" s="6" t="s">
        <v>69</v>
      </c>
      <c r="D27" s="3" t="s">
        <v>70</v>
      </c>
      <c r="E27" s="3" t="s">
        <v>15</v>
      </c>
      <c r="F27" s="6" t="s">
        <v>342</v>
      </c>
      <c r="G27" s="3" t="s">
        <v>48</v>
      </c>
      <c r="H27" s="6" t="s">
        <v>316</v>
      </c>
      <c r="I27" s="6" t="s">
        <v>343</v>
      </c>
      <c r="J27" s="6" t="s">
        <v>344</v>
      </c>
      <c r="K27" s="6" t="s">
        <v>345</v>
      </c>
      <c r="L27" s="8" t="s">
        <v>345</v>
      </c>
      <c r="M27" s="9" t="s">
        <v>59</v>
      </c>
      <c r="N27" s="11"/>
      <c r="O27" s="8" t="s">
        <v>75</v>
      </c>
      <c r="P27" s="9" t="s">
        <v>257</v>
      </c>
      <c r="Q27" s="6"/>
    </row>
    <row r="28" ht="15.75" customHeight="1">
      <c r="A28" s="3" t="s">
        <v>347</v>
      </c>
      <c r="B28" s="3" t="s">
        <v>68</v>
      </c>
      <c r="C28" s="6" t="s">
        <v>69</v>
      </c>
      <c r="D28" s="3" t="s">
        <v>70</v>
      </c>
      <c r="E28" s="3" t="s">
        <v>15</v>
      </c>
      <c r="F28" s="6" t="s">
        <v>348</v>
      </c>
      <c r="G28" s="3" t="s">
        <v>48</v>
      </c>
      <c r="H28" s="6" t="s">
        <v>267</v>
      </c>
      <c r="I28" s="6" t="s">
        <v>350</v>
      </c>
      <c r="J28" s="6" t="s">
        <v>282</v>
      </c>
      <c r="K28" s="6" t="s">
        <v>351</v>
      </c>
      <c r="L28" s="8" t="s">
        <v>351</v>
      </c>
      <c r="M28" s="9" t="s">
        <v>59</v>
      </c>
      <c r="N28" s="11"/>
      <c r="O28" s="8" t="s">
        <v>75</v>
      </c>
      <c r="P28" s="9" t="s">
        <v>257</v>
      </c>
      <c r="Q28" s="6"/>
    </row>
    <row r="29" ht="15.75" customHeight="1">
      <c r="A29" s="3" t="s">
        <v>353</v>
      </c>
      <c r="B29" s="3" t="s">
        <v>77</v>
      </c>
      <c r="C29" s="6" t="s">
        <v>78</v>
      </c>
      <c r="D29" s="3" t="s">
        <v>79</v>
      </c>
      <c r="E29" s="3" t="s">
        <v>15</v>
      </c>
      <c r="F29" s="6" t="s">
        <v>355</v>
      </c>
      <c r="G29" s="3" t="s">
        <v>48</v>
      </c>
      <c r="H29" s="6" t="s">
        <v>316</v>
      </c>
      <c r="I29" s="6" t="s">
        <v>356</v>
      </c>
      <c r="J29" s="6" t="s">
        <v>357</v>
      </c>
      <c r="K29" s="6" t="s">
        <v>358</v>
      </c>
      <c r="L29" s="8" t="s">
        <v>358</v>
      </c>
      <c r="M29" s="9" t="s">
        <v>59</v>
      </c>
      <c r="N29" s="11"/>
      <c r="O29" s="8" t="s">
        <v>75</v>
      </c>
      <c r="P29" s="9" t="s">
        <v>257</v>
      </c>
      <c r="Q29" s="6"/>
    </row>
    <row r="30" ht="15.75" customHeight="1">
      <c r="A30" s="3" t="s">
        <v>360</v>
      </c>
      <c r="B30" s="3" t="s">
        <v>77</v>
      </c>
      <c r="C30" s="6" t="s">
        <v>78</v>
      </c>
      <c r="D30" s="3" t="s">
        <v>79</v>
      </c>
      <c r="E30" s="3" t="s">
        <v>15</v>
      </c>
      <c r="F30" s="6" t="s">
        <v>361</v>
      </c>
      <c r="G30" s="3" t="s">
        <v>48</v>
      </c>
      <c r="H30" s="6" t="s">
        <v>316</v>
      </c>
      <c r="I30" s="6" t="s">
        <v>363</v>
      </c>
      <c r="J30" s="6" t="s">
        <v>357</v>
      </c>
      <c r="K30" s="6" t="s">
        <v>364</v>
      </c>
      <c r="L30" s="8" t="s">
        <v>364</v>
      </c>
      <c r="M30" s="9" t="s">
        <v>59</v>
      </c>
      <c r="N30" s="11"/>
      <c r="O30" s="8" t="s">
        <v>75</v>
      </c>
      <c r="P30" s="9" t="s">
        <v>257</v>
      </c>
      <c r="Q30" s="6"/>
    </row>
    <row r="31" ht="15.75" customHeight="1">
      <c r="A31" s="3" t="s">
        <v>365</v>
      </c>
      <c r="B31" s="3" t="s">
        <v>77</v>
      </c>
      <c r="C31" s="6" t="s">
        <v>78</v>
      </c>
      <c r="D31" s="3" t="s">
        <v>79</v>
      </c>
      <c r="E31" s="3" t="s">
        <v>15</v>
      </c>
      <c r="F31" s="6" t="s">
        <v>366</v>
      </c>
      <c r="G31" s="3" t="s">
        <v>48</v>
      </c>
      <c r="H31" s="6" t="s">
        <v>316</v>
      </c>
      <c r="I31" s="6" t="s">
        <v>368</v>
      </c>
      <c r="J31" s="6" t="s">
        <v>369</v>
      </c>
      <c r="K31" s="6" t="s">
        <v>370</v>
      </c>
      <c r="L31" s="8" t="s">
        <v>370</v>
      </c>
      <c r="M31" s="9" t="s">
        <v>59</v>
      </c>
      <c r="N31" s="11"/>
      <c r="O31" s="8" t="s">
        <v>75</v>
      </c>
      <c r="P31" s="9" t="s">
        <v>257</v>
      </c>
      <c r="Q31" s="6"/>
    </row>
    <row r="32" ht="15.75" customHeight="1">
      <c r="A32" s="3" t="s">
        <v>371</v>
      </c>
      <c r="B32" s="3" t="s">
        <v>77</v>
      </c>
      <c r="C32" s="6" t="s">
        <v>78</v>
      </c>
      <c r="D32" s="3" t="s">
        <v>79</v>
      </c>
      <c r="E32" s="3" t="s">
        <v>15</v>
      </c>
      <c r="F32" s="6" t="s">
        <v>373</v>
      </c>
      <c r="G32" s="3" t="s">
        <v>149</v>
      </c>
      <c r="H32" s="6" t="s">
        <v>316</v>
      </c>
      <c r="I32" s="6" t="s">
        <v>375</v>
      </c>
      <c r="J32" s="6" t="s">
        <v>376</v>
      </c>
      <c r="K32" s="6" t="s">
        <v>377</v>
      </c>
      <c r="L32" s="8" t="s">
        <v>377</v>
      </c>
      <c r="M32" s="9" t="s">
        <v>59</v>
      </c>
      <c r="N32" s="11"/>
      <c r="O32" s="8" t="s">
        <v>75</v>
      </c>
      <c r="P32" s="9" t="s">
        <v>257</v>
      </c>
      <c r="Q32" s="6"/>
    </row>
    <row r="33" ht="15.75" customHeight="1">
      <c r="A33" s="3" t="s">
        <v>378</v>
      </c>
      <c r="B33" s="3" t="s">
        <v>77</v>
      </c>
      <c r="C33" s="6" t="s">
        <v>78</v>
      </c>
      <c r="D33" s="3" t="s">
        <v>79</v>
      </c>
      <c r="E33" s="3" t="s">
        <v>15</v>
      </c>
      <c r="F33" s="6" t="s">
        <v>380</v>
      </c>
      <c r="G33" s="3" t="s">
        <v>149</v>
      </c>
      <c r="H33" s="6" t="s">
        <v>316</v>
      </c>
      <c r="I33" s="6" t="s">
        <v>381</v>
      </c>
      <c r="J33" s="6" t="s">
        <v>382</v>
      </c>
      <c r="K33" s="6" t="s">
        <v>383</v>
      </c>
      <c r="L33" s="8" t="s">
        <v>384</v>
      </c>
      <c r="M33" s="9" t="s">
        <v>107</v>
      </c>
      <c r="N33" s="9" t="s">
        <v>386</v>
      </c>
      <c r="O33" s="8" t="s">
        <v>75</v>
      </c>
      <c r="P33" s="9" t="s">
        <v>257</v>
      </c>
      <c r="Q33" s="6"/>
    </row>
    <row r="34" ht="15.75" customHeight="1">
      <c r="A34" s="3" t="s">
        <v>387</v>
      </c>
      <c r="B34" s="3" t="s">
        <v>77</v>
      </c>
      <c r="C34" s="6" t="s">
        <v>78</v>
      </c>
      <c r="D34" s="3" t="s">
        <v>79</v>
      </c>
      <c r="E34" s="3" t="s">
        <v>15</v>
      </c>
      <c r="F34" s="6" t="s">
        <v>389</v>
      </c>
      <c r="G34" s="3" t="s">
        <v>89</v>
      </c>
      <c r="H34" s="6" t="s">
        <v>316</v>
      </c>
      <c r="I34" s="6" t="s">
        <v>390</v>
      </c>
      <c r="J34" s="6" t="s">
        <v>391</v>
      </c>
      <c r="K34" s="6" t="s">
        <v>392</v>
      </c>
      <c r="L34" s="8" t="s">
        <v>393</v>
      </c>
      <c r="M34" s="9" t="s">
        <v>107</v>
      </c>
      <c r="N34" s="9" t="s">
        <v>394</v>
      </c>
      <c r="O34" s="8" t="s">
        <v>75</v>
      </c>
      <c r="P34" s="9" t="s">
        <v>257</v>
      </c>
      <c r="Q34" s="6"/>
    </row>
    <row r="35" ht="15.75" customHeight="1">
      <c r="A35" s="3" t="s">
        <v>396</v>
      </c>
      <c r="B35" s="3" t="s">
        <v>77</v>
      </c>
      <c r="C35" s="6" t="s">
        <v>78</v>
      </c>
      <c r="D35" s="3" t="s">
        <v>79</v>
      </c>
      <c r="E35" s="3" t="s">
        <v>15</v>
      </c>
      <c r="F35" s="6" t="s">
        <v>397</v>
      </c>
      <c r="G35" s="3" t="s">
        <v>89</v>
      </c>
      <c r="H35" s="6" t="s">
        <v>316</v>
      </c>
      <c r="I35" s="6" t="s">
        <v>398</v>
      </c>
      <c r="J35" s="6" t="s">
        <v>399</v>
      </c>
      <c r="K35" s="6" t="s">
        <v>401</v>
      </c>
      <c r="L35" s="8" t="s">
        <v>402</v>
      </c>
      <c r="M35" s="9" t="s">
        <v>107</v>
      </c>
      <c r="N35" s="9" t="s">
        <v>403</v>
      </c>
      <c r="O35" s="8" t="s">
        <v>75</v>
      </c>
      <c r="P35" s="9" t="s">
        <v>257</v>
      </c>
      <c r="Q35" s="6"/>
    </row>
    <row r="36" ht="15.75" customHeight="1">
      <c r="A36" s="3" t="s">
        <v>404</v>
      </c>
      <c r="B36" s="3" t="s">
        <v>77</v>
      </c>
      <c r="C36" s="6" t="s">
        <v>78</v>
      </c>
      <c r="D36" s="3" t="s">
        <v>79</v>
      </c>
      <c r="E36" s="3" t="s">
        <v>15</v>
      </c>
      <c r="F36" s="6" t="s">
        <v>405</v>
      </c>
      <c r="G36" s="3" t="s">
        <v>89</v>
      </c>
      <c r="H36" s="6" t="s">
        <v>316</v>
      </c>
      <c r="I36" s="6" t="s">
        <v>407</v>
      </c>
      <c r="J36" s="6" t="s">
        <v>408</v>
      </c>
      <c r="K36" s="6" t="s">
        <v>409</v>
      </c>
      <c r="L36" s="8" t="s">
        <v>410</v>
      </c>
      <c r="M36" s="9" t="s">
        <v>107</v>
      </c>
      <c r="N36" s="9" t="s">
        <v>411</v>
      </c>
      <c r="O36" s="8" t="s">
        <v>75</v>
      </c>
      <c r="P36" s="9" t="s">
        <v>257</v>
      </c>
      <c r="Q36" s="6"/>
    </row>
    <row r="37" ht="15.75" customHeight="1">
      <c r="A37" s="3" t="s">
        <v>412</v>
      </c>
      <c r="B37" s="3" t="s">
        <v>77</v>
      </c>
      <c r="C37" s="6" t="s">
        <v>78</v>
      </c>
      <c r="D37" s="3" t="s">
        <v>79</v>
      </c>
      <c r="E37" s="3" t="s">
        <v>15</v>
      </c>
      <c r="F37" s="6" t="s">
        <v>414</v>
      </c>
      <c r="G37" s="3" t="s">
        <v>89</v>
      </c>
      <c r="H37" s="6" t="s">
        <v>316</v>
      </c>
      <c r="I37" s="6" t="s">
        <v>415</v>
      </c>
      <c r="J37" s="6" t="s">
        <v>416</v>
      </c>
      <c r="K37" s="6" t="s">
        <v>417</v>
      </c>
      <c r="L37" s="8" t="s">
        <v>417</v>
      </c>
      <c r="M37" s="9" t="s">
        <v>59</v>
      </c>
      <c r="N37" s="11"/>
      <c r="O37" s="8" t="s">
        <v>75</v>
      </c>
      <c r="P37" s="9" t="s">
        <v>257</v>
      </c>
      <c r="Q37" s="6"/>
    </row>
    <row r="38" ht="15.75" customHeight="1">
      <c r="A38" s="3" t="s">
        <v>418</v>
      </c>
      <c r="B38" s="3" t="s">
        <v>77</v>
      </c>
      <c r="C38" s="6" t="s">
        <v>78</v>
      </c>
      <c r="D38" s="3" t="s">
        <v>79</v>
      </c>
      <c r="E38" s="3" t="s">
        <v>15</v>
      </c>
      <c r="F38" s="6" t="s">
        <v>421</v>
      </c>
      <c r="G38" s="3" t="s">
        <v>89</v>
      </c>
      <c r="H38" s="6" t="s">
        <v>316</v>
      </c>
      <c r="I38" s="6" t="s">
        <v>422</v>
      </c>
      <c r="J38" s="6" t="s">
        <v>423</v>
      </c>
      <c r="K38" s="6" t="s">
        <v>425</v>
      </c>
      <c r="L38" s="8" t="s">
        <v>426</v>
      </c>
      <c r="M38" s="9" t="s">
        <v>59</v>
      </c>
      <c r="N38" s="11"/>
      <c r="O38" s="8" t="s">
        <v>75</v>
      </c>
      <c r="P38" s="9" t="s">
        <v>257</v>
      </c>
      <c r="Q38" s="6"/>
    </row>
    <row r="39" ht="15.75" customHeight="1">
      <c r="A39" s="3" t="s">
        <v>427</v>
      </c>
      <c r="B39" s="3" t="s">
        <v>77</v>
      </c>
      <c r="C39" s="6" t="s">
        <v>78</v>
      </c>
      <c r="D39" s="3" t="s">
        <v>79</v>
      </c>
      <c r="E39" s="3" t="s">
        <v>15</v>
      </c>
      <c r="F39" s="6" t="s">
        <v>429</v>
      </c>
      <c r="G39" s="3" t="s">
        <v>48</v>
      </c>
      <c r="H39" s="6" t="s">
        <v>316</v>
      </c>
      <c r="I39" s="6" t="s">
        <v>430</v>
      </c>
      <c r="J39" s="6" t="s">
        <v>431</v>
      </c>
      <c r="K39" s="6" t="s">
        <v>432</v>
      </c>
      <c r="L39" s="8" t="s">
        <v>432</v>
      </c>
      <c r="M39" s="9" t="s">
        <v>59</v>
      </c>
      <c r="N39" s="11"/>
      <c r="O39" s="8" t="s">
        <v>75</v>
      </c>
      <c r="P39" s="9" t="s">
        <v>257</v>
      </c>
      <c r="Q39" s="6"/>
    </row>
    <row r="40" ht="15.75" customHeight="1">
      <c r="A40" s="3" t="s">
        <v>434</v>
      </c>
      <c r="B40" s="3" t="s">
        <v>77</v>
      </c>
      <c r="C40" s="6" t="s">
        <v>78</v>
      </c>
      <c r="D40" s="3" t="s">
        <v>79</v>
      </c>
      <c r="E40" s="3" t="s">
        <v>15</v>
      </c>
      <c r="F40" s="6" t="s">
        <v>435</v>
      </c>
      <c r="G40" s="3" t="s">
        <v>48</v>
      </c>
      <c r="H40" s="6" t="s">
        <v>316</v>
      </c>
      <c r="I40" s="6" t="s">
        <v>436</v>
      </c>
      <c r="J40" s="6" t="s">
        <v>437</v>
      </c>
      <c r="K40" s="6" t="s">
        <v>438</v>
      </c>
      <c r="L40" s="8" t="s">
        <v>438</v>
      </c>
      <c r="M40" s="9" t="s">
        <v>59</v>
      </c>
      <c r="N40" s="11"/>
      <c r="O40" s="8" t="s">
        <v>75</v>
      </c>
      <c r="P40" s="9" t="s">
        <v>257</v>
      </c>
      <c r="Q40" s="6"/>
    </row>
    <row r="41" ht="15.75" customHeight="1">
      <c r="A41" s="3" t="s">
        <v>439</v>
      </c>
      <c r="B41" s="3" t="s">
        <v>77</v>
      </c>
      <c r="C41" s="6" t="s">
        <v>78</v>
      </c>
      <c r="D41" s="3" t="s">
        <v>79</v>
      </c>
      <c r="E41" s="3" t="s">
        <v>15</v>
      </c>
      <c r="F41" s="6" t="s">
        <v>440</v>
      </c>
      <c r="G41" s="3" t="s">
        <v>48</v>
      </c>
      <c r="H41" s="6" t="s">
        <v>316</v>
      </c>
      <c r="I41" s="6" t="s">
        <v>441</v>
      </c>
      <c r="J41" s="6" t="s">
        <v>442</v>
      </c>
      <c r="K41" s="6" t="s">
        <v>443</v>
      </c>
      <c r="L41" s="8" t="s">
        <v>443</v>
      </c>
      <c r="M41" s="9" t="s">
        <v>59</v>
      </c>
      <c r="N41" s="11"/>
      <c r="O41" s="8" t="s">
        <v>75</v>
      </c>
      <c r="P41" s="9" t="s">
        <v>257</v>
      </c>
      <c r="Q41" s="6"/>
    </row>
    <row r="42" ht="15.75" customHeight="1">
      <c r="A42" s="3" t="s">
        <v>444</v>
      </c>
      <c r="B42" s="3" t="s">
        <v>77</v>
      </c>
      <c r="C42" s="6" t="s">
        <v>78</v>
      </c>
      <c r="D42" s="3" t="s">
        <v>79</v>
      </c>
      <c r="E42" s="3" t="s">
        <v>15</v>
      </c>
      <c r="F42" s="6" t="s">
        <v>445</v>
      </c>
      <c r="G42" s="3" t="s">
        <v>48</v>
      </c>
      <c r="H42" s="6" t="s">
        <v>316</v>
      </c>
      <c r="I42" s="6" t="s">
        <v>446</v>
      </c>
      <c r="J42" s="6" t="s">
        <v>447</v>
      </c>
      <c r="K42" s="6" t="s">
        <v>448</v>
      </c>
      <c r="L42" s="8" t="s">
        <v>448</v>
      </c>
      <c r="M42" s="9" t="s">
        <v>59</v>
      </c>
      <c r="N42" s="11"/>
      <c r="O42" s="8" t="s">
        <v>75</v>
      </c>
      <c r="P42" s="9" t="s">
        <v>257</v>
      </c>
      <c r="Q42" s="6"/>
    </row>
    <row r="43" ht="15.75" customHeight="1">
      <c r="A43" s="3" t="s">
        <v>449</v>
      </c>
      <c r="B43" s="3" t="s">
        <v>85</v>
      </c>
      <c r="C43" s="6" t="s">
        <v>87</v>
      </c>
      <c r="D43" s="3" t="s">
        <v>88</v>
      </c>
      <c r="E43" s="3" t="s">
        <v>55</v>
      </c>
      <c r="F43" s="6" t="s">
        <v>450</v>
      </c>
      <c r="G43" s="3" t="s">
        <v>48</v>
      </c>
      <c r="H43" s="6" t="s">
        <v>316</v>
      </c>
      <c r="I43" s="6" t="s">
        <v>451</v>
      </c>
      <c r="J43" s="6" t="s">
        <v>452</v>
      </c>
      <c r="K43" s="6" t="s">
        <v>453</v>
      </c>
      <c r="L43" s="8" t="s">
        <v>453</v>
      </c>
      <c r="M43" s="9" t="s">
        <v>59</v>
      </c>
      <c r="N43" s="11"/>
      <c r="O43" s="8" t="s">
        <v>75</v>
      </c>
      <c r="P43" s="9" t="s">
        <v>257</v>
      </c>
      <c r="Q43" s="6"/>
    </row>
    <row r="44" ht="15.75" customHeight="1">
      <c r="A44" s="3" t="s">
        <v>454</v>
      </c>
      <c r="B44" s="3" t="s">
        <v>85</v>
      </c>
      <c r="C44" s="6" t="s">
        <v>87</v>
      </c>
      <c r="D44" s="3" t="s">
        <v>88</v>
      </c>
      <c r="E44" s="3" t="s">
        <v>55</v>
      </c>
      <c r="F44" s="6" t="s">
        <v>455</v>
      </c>
      <c r="G44" s="3" t="s">
        <v>48</v>
      </c>
      <c r="H44" s="6" t="s">
        <v>316</v>
      </c>
      <c r="I44" s="6" t="s">
        <v>456</v>
      </c>
      <c r="J44" s="6" t="s">
        <v>457</v>
      </c>
      <c r="K44" s="6" t="s">
        <v>458</v>
      </c>
      <c r="L44" s="10" t="s">
        <v>458</v>
      </c>
      <c r="M44" s="9" t="s">
        <v>59</v>
      </c>
      <c r="N44" s="11"/>
      <c r="O44" s="8" t="s">
        <v>75</v>
      </c>
      <c r="P44" s="9" t="s">
        <v>257</v>
      </c>
      <c r="Q44" s="6"/>
    </row>
    <row r="45" ht="15.75" customHeight="1">
      <c r="A45" s="3" t="s">
        <v>459</v>
      </c>
      <c r="B45" s="3" t="s">
        <v>85</v>
      </c>
      <c r="C45" s="6" t="s">
        <v>87</v>
      </c>
      <c r="D45" s="3" t="s">
        <v>88</v>
      </c>
      <c r="E45" s="3" t="s">
        <v>55</v>
      </c>
      <c r="F45" s="6" t="s">
        <v>460</v>
      </c>
      <c r="G45" s="3" t="s">
        <v>48</v>
      </c>
      <c r="H45" s="6" t="s">
        <v>316</v>
      </c>
      <c r="I45" s="6" t="s">
        <v>461</v>
      </c>
      <c r="J45" s="6" t="s">
        <v>462</v>
      </c>
      <c r="K45" s="6" t="s">
        <v>463</v>
      </c>
      <c r="L45" s="8" t="s">
        <v>463</v>
      </c>
      <c r="M45" s="9" t="s">
        <v>59</v>
      </c>
      <c r="N45" s="11"/>
      <c r="O45" s="8" t="s">
        <v>75</v>
      </c>
      <c r="P45" s="9" t="s">
        <v>257</v>
      </c>
      <c r="Q45" s="6"/>
    </row>
    <row r="46" ht="15.75" customHeight="1">
      <c r="A46" s="3" t="s">
        <v>464</v>
      </c>
      <c r="B46" s="3" t="s">
        <v>85</v>
      </c>
      <c r="C46" s="6" t="s">
        <v>87</v>
      </c>
      <c r="D46" s="3" t="s">
        <v>88</v>
      </c>
      <c r="E46" s="3" t="s">
        <v>55</v>
      </c>
      <c r="F46" s="6" t="s">
        <v>465</v>
      </c>
      <c r="G46" s="3" t="s">
        <v>48</v>
      </c>
      <c r="H46" s="6" t="s">
        <v>316</v>
      </c>
      <c r="I46" s="6" t="s">
        <v>466</v>
      </c>
      <c r="J46" s="6" t="s">
        <v>467</v>
      </c>
      <c r="K46" s="6" t="s">
        <v>468</v>
      </c>
      <c r="L46" s="8" t="s">
        <v>468</v>
      </c>
      <c r="M46" s="9" t="s">
        <v>59</v>
      </c>
      <c r="N46" s="11"/>
      <c r="O46" s="8" t="s">
        <v>75</v>
      </c>
      <c r="P46" s="9" t="s">
        <v>257</v>
      </c>
      <c r="Q46" s="6"/>
    </row>
    <row r="47" ht="15.75" customHeight="1">
      <c r="A47" s="3" t="s">
        <v>469</v>
      </c>
      <c r="B47" s="3" t="s">
        <v>85</v>
      </c>
      <c r="C47" s="6" t="s">
        <v>87</v>
      </c>
      <c r="D47" s="3" t="s">
        <v>88</v>
      </c>
      <c r="E47" s="3" t="s">
        <v>55</v>
      </c>
      <c r="F47" s="6" t="s">
        <v>470</v>
      </c>
      <c r="G47" s="3" t="s">
        <v>89</v>
      </c>
      <c r="H47" s="6" t="s">
        <v>316</v>
      </c>
      <c r="I47" s="6" t="s">
        <v>471</v>
      </c>
      <c r="J47" s="6" t="s">
        <v>472</v>
      </c>
      <c r="K47" s="6" t="s">
        <v>473</v>
      </c>
      <c r="L47" s="8" t="s">
        <v>474</v>
      </c>
      <c r="M47" s="9" t="s">
        <v>59</v>
      </c>
      <c r="N47" s="11"/>
      <c r="O47" s="8" t="s">
        <v>75</v>
      </c>
      <c r="P47" s="9" t="s">
        <v>257</v>
      </c>
      <c r="Q47" s="6"/>
    </row>
    <row r="48" ht="15.75" customHeight="1">
      <c r="A48" s="3" t="s">
        <v>475</v>
      </c>
      <c r="B48" s="3" t="s">
        <v>85</v>
      </c>
      <c r="C48" s="6" t="s">
        <v>87</v>
      </c>
      <c r="D48" s="3" t="s">
        <v>88</v>
      </c>
      <c r="E48" s="3" t="s">
        <v>55</v>
      </c>
      <c r="F48" s="6" t="s">
        <v>476</v>
      </c>
      <c r="G48" s="3" t="s">
        <v>89</v>
      </c>
      <c r="H48" s="6" t="s">
        <v>316</v>
      </c>
      <c r="I48" s="6" t="s">
        <v>477</v>
      </c>
      <c r="J48" s="6" t="s">
        <v>478</v>
      </c>
      <c r="K48" s="6" t="s">
        <v>479</v>
      </c>
      <c r="L48" s="8" t="s">
        <v>479</v>
      </c>
      <c r="M48" s="9" t="s">
        <v>59</v>
      </c>
      <c r="N48" s="11"/>
      <c r="O48" s="8" t="s">
        <v>75</v>
      </c>
      <c r="P48" s="9" t="s">
        <v>480</v>
      </c>
      <c r="Q48" s="6" t="s">
        <v>481</v>
      </c>
    </row>
    <row r="49" ht="15.75" customHeight="1">
      <c r="A49" s="3" t="s">
        <v>482</v>
      </c>
      <c r="B49" s="3" t="s">
        <v>85</v>
      </c>
      <c r="C49" s="6" t="s">
        <v>87</v>
      </c>
      <c r="D49" s="3" t="s">
        <v>88</v>
      </c>
      <c r="E49" s="3" t="s">
        <v>55</v>
      </c>
      <c r="F49" s="6" t="s">
        <v>483</v>
      </c>
      <c r="G49" s="3" t="s">
        <v>89</v>
      </c>
      <c r="H49" s="6" t="s">
        <v>316</v>
      </c>
      <c r="I49" s="6" t="s">
        <v>484</v>
      </c>
      <c r="J49" s="6" t="s">
        <v>485</v>
      </c>
      <c r="K49" s="6" t="s">
        <v>486</v>
      </c>
      <c r="L49" s="8" t="s">
        <v>487</v>
      </c>
      <c r="M49" s="9" t="s">
        <v>107</v>
      </c>
      <c r="N49" s="9" t="s">
        <v>488</v>
      </c>
      <c r="O49" s="8" t="s">
        <v>75</v>
      </c>
      <c r="P49" s="9" t="s">
        <v>480</v>
      </c>
      <c r="Q49" s="6"/>
    </row>
    <row r="50" ht="15.75" customHeight="1">
      <c r="A50" s="3" t="s">
        <v>489</v>
      </c>
      <c r="B50" s="3" t="s">
        <v>85</v>
      </c>
      <c r="C50" s="6" t="s">
        <v>87</v>
      </c>
      <c r="D50" s="3" t="s">
        <v>88</v>
      </c>
      <c r="E50" s="3" t="s">
        <v>55</v>
      </c>
      <c r="F50" s="6" t="s">
        <v>490</v>
      </c>
      <c r="G50" s="3" t="s">
        <v>89</v>
      </c>
      <c r="H50" s="6" t="s">
        <v>316</v>
      </c>
      <c r="I50" s="6" t="s">
        <v>491</v>
      </c>
      <c r="J50" s="6" t="s">
        <v>492</v>
      </c>
      <c r="K50" s="6" t="s">
        <v>493</v>
      </c>
      <c r="L50" s="8" t="s">
        <v>494</v>
      </c>
      <c r="M50" s="9" t="s">
        <v>107</v>
      </c>
      <c r="N50" s="9" t="s">
        <v>495</v>
      </c>
      <c r="O50" s="8" t="s">
        <v>75</v>
      </c>
      <c r="P50" s="9" t="s">
        <v>480</v>
      </c>
      <c r="Q50" s="6"/>
    </row>
    <row r="51" ht="15.75" customHeight="1">
      <c r="A51" s="3" t="s">
        <v>496</v>
      </c>
      <c r="B51" s="3" t="s">
        <v>85</v>
      </c>
      <c r="C51" s="6" t="s">
        <v>87</v>
      </c>
      <c r="D51" s="3" t="s">
        <v>88</v>
      </c>
      <c r="E51" s="3" t="s">
        <v>55</v>
      </c>
      <c r="F51" s="6" t="s">
        <v>497</v>
      </c>
      <c r="G51" s="3" t="s">
        <v>89</v>
      </c>
      <c r="H51" s="6" t="s">
        <v>316</v>
      </c>
      <c r="I51" s="6" t="s">
        <v>498</v>
      </c>
      <c r="J51" s="6" t="s">
        <v>499</v>
      </c>
      <c r="K51" s="6" t="s">
        <v>500</v>
      </c>
      <c r="L51" s="8" t="s">
        <v>500</v>
      </c>
      <c r="M51" s="9" t="s">
        <v>59</v>
      </c>
      <c r="N51" s="11"/>
      <c r="O51" s="8" t="s">
        <v>75</v>
      </c>
      <c r="P51" s="14"/>
      <c r="Q51" s="6" t="s">
        <v>501</v>
      </c>
    </row>
    <row r="52" ht="15.75" customHeight="1">
      <c r="A52" s="3" t="s">
        <v>502</v>
      </c>
      <c r="B52" s="3" t="s">
        <v>85</v>
      </c>
      <c r="C52" s="6" t="s">
        <v>87</v>
      </c>
      <c r="D52" s="3" t="s">
        <v>88</v>
      </c>
      <c r="E52" s="3" t="s">
        <v>55</v>
      </c>
      <c r="F52" s="6" t="s">
        <v>503</v>
      </c>
      <c r="G52" s="3" t="s">
        <v>48</v>
      </c>
      <c r="H52" s="6" t="s">
        <v>316</v>
      </c>
      <c r="I52" s="6" t="s">
        <v>504</v>
      </c>
      <c r="J52" s="6" t="s">
        <v>505</v>
      </c>
      <c r="K52" s="6" t="s">
        <v>506</v>
      </c>
      <c r="L52" s="8" t="s">
        <v>506</v>
      </c>
      <c r="M52" s="9" t="s">
        <v>59</v>
      </c>
      <c r="N52" s="11"/>
      <c r="O52" s="8" t="s">
        <v>75</v>
      </c>
      <c r="P52" s="14"/>
      <c r="Q52" s="6" t="s">
        <v>507</v>
      </c>
    </row>
    <row r="53" ht="15.75" customHeight="1">
      <c r="A53" s="3" t="s">
        <v>508</v>
      </c>
      <c r="B53" s="3" t="s">
        <v>99</v>
      </c>
      <c r="C53" s="6" t="s">
        <v>100</v>
      </c>
      <c r="D53" s="3" t="s">
        <v>101</v>
      </c>
      <c r="E53" s="3" t="s">
        <v>55</v>
      </c>
      <c r="F53" s="6" t="s">
        <v>509</v>
      </c>
      <c r="G53" s="3" t="s">
        <v>48</v>
      </c>
      <c r="H53" s="6" t="s">
        <v>316</v>
      </c>
      <c r="I53" s="6" t="s">
        <v>510</v>
      </c>
      <c r="J53" s="6" t="s">
        <v>511</v>
      </c>
      <c r="K53" s="6" t="s">
        <v>512</v>
      </c>
      <c r="L53" s="8" t="s">
        <v>512</v>
      </c>
      <c r="M53" s="9" t="s">
        <v>59</v>
      </c>
      <c r="N53" s="11"/>
      <c r="O53" s="8" t="s">
        <v>75</v>
      </c>
      <c r="P53" s="14"/>
      <c r="Q53" s="6"/>
    </row>
    <row r="54" ht="15.75" customHeight="1">
      <c r="A54" s="3" t="s">
        <v>513</v>
      </c>
      <c r="B54" s="3" t="s">
        <v>99</v>
      </c>
      <c r="C54" s="6" t="s">
        <v>100</v>
      </c>
      <c r="D54" s="3" t="s">
        <v>101</v>
      </c>
      <c r="E54" s="3" t="s">
        <v>55</v>
      </c>
      <c r="F54" s="6" t="s">
        <v>514</v>
      </c>
      <c r="G54" s="3" t="s">
        <v>149</v>
      </c>
      <c r="H54" s="6" t="s">
        <v>316</v>
      </c>
      <c r="I54" s="6" t="s">
        <v>515</v>
      </c>
      <c r="J54" s="6" t="s">
        <v>516</v>
      </c>
      <c r="K54" s="6" t="s">
        <v>517</v>
      </c>
      <c r="L54" s="8" t="s">
        <v>517</v>
      </c>
      <c r="M54" s="9" t="s">
        <v>59</v>
      </c>
      <c r="N54" s="11"/>
      <c r="O54" s="8" t="s">
        <v>75</v>
      </c>
      <c r="P54" s="14"/>
      <c r="Q54" s="6"/>
    </row>
    <row r="55" ht="15.75" customHeight="1">
      <c r="A55" s="3" t="s">
        <v>518</v>
      </c>
      <c r="B55" s="3" t="s">
        <v>99</v>
      </c>
      <c r="C55" s="6" t="s">
        <v>100</v>
      </c>
      <c r="D55" s="3" t="s">
        <v>101</v>
      </c>
      <c r="E55" s="3" t="s">
        <v>55</v>
      </c>
      <c r="F55" s="6" t="s">
        <v>519</v>
      </c>
      <c r="G55" s="3" t="s">
        <v>149</v>
      </c>
      <c r="H55" s="6" t="s">
        <v>316</v>
      </c>
      <c r="I55" s="6" t="s">
        <v>520</v>
      </c>
      <c r="J55" s="6" t="s">
        <v>521</v>
      </c>
      <c r="K55" s="6" t="s">
        <v>522</v>
      </c>
      <c r="L55" s="8" t="s">
        <v>522</v>
      </c>
      <c r="M55" s="9" t="s">
        <v>59</v>
      </c>
      <c r="N55" s="11"/>
      <c r="O55" s="8" t="s">
        <v>75</v>
      </c>
      <c r="P55" s="14"/>
      <c r="Q55" s="6"/>
    </row>
    <row r="56" ht="15.75" customHeight="1">
      <c r="A56" s="3" t="s">
        <v>523</v>
      </c>
      <c r="B56" s="3" t="s">
        <v>99</v>
      </c>
      <c r="C56" s="6" t="s">
        <v>100</v>
      </c>
      <c r="D56" s="3" t="s">
        <v>101</v>
      </c>
      <c r="E56" s="3" t="s">
        <v>55</v>
      </c>
      <c r="F56" s="6" t="s">
        <v>524</v>
      </c>
      <c r="G56" s="3" t="s">
        <v>149</v>
      </c>
      <c r="H56" s="6" t="s">
        <v>316</v>
      </c>
      <c r="I56" s="6" t="s">
        <v>525</v>
      </c>
      <c r="J56" s="6" t="s">
        <v>526</v>
      </c>
      <c r="K56" s="6" t="s">
        <v>527</v>
      </c>
      <c r="L56" s="8" t="s">
        <v>527</v>
      </c>
      <c r="M56" s="9" t="s">
        <v>59</v>
      </c>
      <c r="N56" s="11"/>
      <c r="O56" s="8" t="s">
        <v>75</v>
      </c>
      <c r="P56" s="14"/>
      <c r="Q56" s="6"/>
    </row>
    <row r="57" ht="15.75" customHeight="1">
      <c r="A57" s="3" t="s">
        <v>528</v>
      </c>
      <c r="B57" s="3" t="s">
        <v>99</v>
      </c>
      <c r="C57" s="6" t="s">
        <v>100</v>
      </c>
      <c r="D57" s="3" t="s">
        <v>101</v>
      </c>
      <c r="E57" s="3" t="s">
        <v>55</v>
      </c>
      <c r="F57" s="6" t="s">
        <v>529</v>
      </c>
      <c r="G57" s="3" t="s">
        <v>48</v>
      </c>
      <c r="H57" s="6" t="s">
        <v>316</v>
      </c>
      <c r="I57" s="6" t="s">
        <v>530</v>
      </c>
      <c r="J57" s="6" t="s">
        <v>531</v>
      </c>
      <c r="K57" s="6" t="s">
        <v>532</v>
      </c>
      <c r="L57" s="8" t="s">
        <v>532</v>
      </c>
      <c r="M57" s="9" t="s">
        <v>59</v>
      </c>
      <c r="N57" s="11"/>
      <c r="O57" s="8" t="s">
        <v>75</v>
      </c>
      <c r="P57" s="14"/>
      <c r="Q57" s="6"/>
    </row>
    <row r="58" ht="15.75" customHeight="1">
      <c r="A58" s="3" t="s">
        <v>533</v>
      </c>
      <c r="B58" s="3" t="s">
        <v>99</v>
      </c>
      <c r="C58" s="6" t="s">
        <v>100</v>
      </c>
      <c r="D58" s="3" t="s">
        <v>101</v>
      </c>
      <c r="E58" s="3" t="s">
        <v>55</v>
      </c>
      <c r="F58" s="6" t="s">
        <v>534</v>
      </c>
      <c r="G58" s="3" t="s">
        <v>149</v>
      </c>
      <c r="H58" s="6" t="s">
        <v>316</v>
      </c>
      <c r="I58" s="6" t="s">
        <v>535</v>
      </c>
      <c r="J58" s="6" t="s">
        <v>536</v>
      </c>
      <c r="K58" s="6" t="s">
        <v>537</v>
      </c>
      <c r="L58" s="8" t="s">
        <v>537</v>
      </c>
      <c r="M58" s="9" t="s">
        <v>59</v>
      </c>
      <c r="N58" s="11"/>
      <c r="O58" s="8" t="s">
        <v>75</v>
      </c>
      <c r="P58" s="14"/>
      <c r="Q58" s="6" t="s">
        <v>538</v>
      </c>
    </row>
    <row r="59" ht="15.75" customHeight="1">
      <c r="A59" s="3" t="s">
        <v>539</v>
      </c>
      <c r="B59" s="3" t="s">
        <v>99</v>
      </c>
      <c r="C59" s="6" t="s">
        <v>100</v>
      </c>
      <c r="D59" s="3" t="s">
        <v>101</v>
      </c>
      <c r="E59" s="3" t="s">
        <v>55</v>
      </c>
      <c r="F59" s="6" t="s">
        <v>540</v>
      </c>
      <c r="G59" s="3" t="s">
        <v>149</v>
      </c>
      <c r="H59" s="6" t="s">
        <v>316</v>
      </c>
      <c r="I59" s="6" t="s">
        <v>541</v>
      </c>
      <c r="J59" s="6" t="s">
        <v>542</v>
      </c>
      <c r="K59" s="6" t="s">
        <v>543</v>
      </c>
      <c r="L59" s="8" t="s">
        <v>543</v>
      </c>
      <c r="M59" s="9" t="s">
        <v>59</v>
      </c>
      <c r="N59" s="11"/>
      <c r="O59" s="8" t="s">
        <v>75</v>
      </c>
      <c r="P59" s="14"/>
      <c r="Q59" s="6"/>
    </row>
    <row r="60" ht="15.75" customHeight="1">
      <c r="A60" s="3" t="s">
        <v>544</v>
      </c>
      <c r="B60" s="3" t="s">
        <v>110</v>
      </c>
      <c r="C60" s="6" t="s">
        <v>111</v>
      </c>
      <c r="D60" s="3" t="s">
        <v>113</v>
      </c>
      <c r="E60" s="3" t="s">
        <v>55</v>
      </c>
      <c r="F60" s="6" t="s">
        <v>545</v>
      </c>
      <c r="G60" s="3" t="s">
        <v>48</v>
      </c>
      <c r="H60" s="6" t="s">
        <v>316</v>
      </c>
      <c r="I60" s="6" t="s">
        <v>546</v>
      </c>
      <c r="J60" s="6" t="s">
        <v>547</v>
      </c>
      <c r="K60" s="6" t="s">
        <v>548</v>
      </c>
      <c r="L60" s="8" t="s">
        <v>548</v>
      </c>
      <c r="M60" s="9" t="s">
        <v>59</v>
      </c>
      <c r="N60" s="11"/>
      <c r="O60" s="8" t="s">
        <v>75</v>
      </c>
      <c r="P60" s="14"/>
      <c r="Q60" s="6"/>
    </row>
    <row r="61" ht="15.75" customHeight="1">
      <c r="A61" s="3" t="s">
        <v>549</v>
      </c>
      <c r="B61" s="3" t="s">
        <v>110</v>
      </c>
      <c r="C61" s="6" t="s">
        <v>111</v>
      </c>
      <c r="D61" s="3" t="s">
        <v>113</v>
      </c>
      <c r="E61" s="3" t="s">
        <v>55</v>
      </c>
      <c r="F61" s="6" t="s">
        <v>550</v>
      </c>
      <c r="G61" s="3" t="s">
        <v>89</v>
      </c>
      <c r="H61" s="6" t="s">
        <v>316</v>
      </c>
      <c r="I61" s="6" t="s">
        <v>551</v>
      </c>
      <c r="J61" s="6" t="s">
        <v>552</v>
      </c>
      <c r="K61" s="6" t="s">
        <v>553</v>
      </c>
      <c r="L61" s="8" t="s">
        <v>553</v>
      </c>
      <c r="M61" s="9" t="s">
        <v>59</v>
      </c>
      <c r="N61" s="11"/>
      <c r="O61" s="8" t="s">
        <v>75</v>
      </c>
      <c r="P61" s="14"/>
      <c r="Q61" s="6"/>
    </row>
    <row r="62" ht="15.75" customHeight="1">
      <c r="A62" s="3" t="s">
        <v>554</v>
      </c>
      <c r="B62" s="3" t="s">
        <v>110</v>
      </c>
      <c r="C62" s="6" t="s">
        <v>111</v>
      </c>
      <c r="D62" s="3" t="s">
        <v>113</v>
      </c>
      <c r="E62" s="3" t="s">
        <v>55</v>
      </c>
      <c r="F62" s="6" t="s">
        <v>555</v>
      </c>
      <c r="G62" s="3" t="s">
        <v>89</v>
      </c>
      <c r="H62" s="6" t="s">
        <v>316</v>
      </c>
      <c r="I62" s="6" t="s">
        <v>556</v>
      </c>
      <c r="J62" s="6" t="s">
        <v>557</v>
      </c>
      <c r="K62" s="6" t="s">
        <v>558</v>
      </c>
      <c r="L62" s="8" t="s">
        <v>558</v>
      </c>
      <c r="M62" s="9" t="s">
        <v>59</v>
      </c>
      <c r="N62" s="11"/>
      <c r="O62" s="8" t="s">
        <v>75</v>
      </c>
      <c r="P62" s="14"/>
      <c r="Q62" s="6"/>
    </row>
    <row r="63" ht="15.75" customHeight="1">
      <c r="A63" s="3" t="s">
        <v>559</v>
      </c>
      <c r="B63" s="3" t="s">
        <v>110</v>
      </c>
      <c r="C63" s="6" t="s">
        <v>111</v>
      </c>
      <c r="D63" s="3" t="s">
        <v>113</v>
      </c>
      <c r="E63" s="3" t="s">
        <v>55</v>
      </c>
      <c r="F63" s="6" t="s">
        <v>560</v>
      </c>
      <c r="G63" s="3" t="s">
        <v>89</v>
      </c>
      <c r="H63" s="6" t="s">
        <v>316</v>
      </c>
      <c r="I63" s="6" t="s">
        <v>561</v>
      </c>
      <c r="J63" s="6" t="s">
        <v>562</v>
      </c>
      <c r="K63" s="6" t="s">
        <v>558</v>
      </c>
      <c r="L63" s="8" t="s">
        <v>558</v>
      </c>
      <c r="M63" s="9" t="s">
        <v>59</v>
      </c>
      <c r="N63" s="11"/>
      <c r="O63" s="8" t="s">
        <v>75</v>
      </c>
      <c r="P63" s="14"/>
      <c r="Q63" s="6"/>
    </row>
    <row r="64" ht="15.75" customHeight="1">
      <c r="A64" s="3" t="s">
        <v>563</v>
      </c>
      <c r="B64" s="3" t="s">
        <v>110</v>
      </c>
      <c r="C64" s="6" t="s">
        <v>111</v>
      </c>
      <c r="D64" s="3" t="s">
        <v>113</v>
      </c>
      <c r="E64" s="3" t="s">
        <v>55</v>
      </c>
      <c r="F64" s="6" t="s">
        <v>564</v>
      </c>
      <c r="G64" s="3" t="s">
        <v>89</v>
      </c>
      <c r="H64" s="6" t="s">
        <v>316</v>
      </c>
      <c r="I64" s="6" t="s">
        <v>565</v>
      </c>
      <c r="J64" s="6" t="s">
        <v>566</v>
      </c>
      <c r="K64" s="6" t="s">
        <v>567</v>
      </c>
      <c r="L64" s="8" t="s">
        <v>548</v>
      </c>
      <c r="M64" s="9" t="s">
        <v>107</v>
      </c>
      <c r="N64" s="9" t="s">
        <v>568</v>
      </c>
      <c r="O64" s="8" t="s">
        <v>75</v>
      </c>
      <c r="P64" s="14"/>
      <c r="Q64" s="6"/>
    </row>
    <row r="65" ht="15.75" customHeight="1">
      <c r="A65" s="3" t="s">
        <v>569</v>
      </c>
      <c r="B65" s="3" t="s">
        <v>110</v>
      </c>
      <c r="C65" s="6" t="s">
        <v>111</v>
      </c>
      <c r="D65" s="3" t="s">
        <v>113</v>
      </c>
      <c r="E65" s="3" t="s">
        <v>55</v>
      </c>
      <c r="F65" s="6" t="s">
        <v>570</v>
      </c>
      <c r="G65" s="3" t="s">
        <v>89</v>
      </c>
      <c r="H65" s="6" t="s">
        <v>316</v>
      </c>
      <c r="I65" s="6" t="s">
        <v>571</v>
      </c>
      <c r="J65" s="6" t="s">
        <v>572</v>
      </c>
      <c r="K65" s="6" t="s">
        <v>558</v>
      </c>
      <c r="L65" s="8" t="s">
        <v>548</v>
      </c>
      <c r="M65" s="9" t="s">
        <v>107</v>
      </c>
      <c r="N65" s="9" t="s">
        <v>573</v>
      </c>
      <c r="O65" s="8" t="s">
        <v>75</v>
      </c>
      <c r="P65" s="14"/>
      <c r="Q65" s="6" t="s">
        <v>574</v>
      </c>
    </row>
    <row r="66" ht="15.75" customHeight="1">
      <c r="A66" s="3" t="s">
        <v>575</v>
      </c>
      <c r="B66" s="3" t="s">
        <v>110</v>
      </c>
      <c r="C66" s="6" t="s">
        <v>111</v>
      </c>
      <c r="D66" s="3" t="s">
        <v>113</v>
      </c>
      <c r="E66" s="3" t="s">
        <v>55</v>
      </c>
      <c r="F66" s="6" t="s">
        <v>576</v>
      </c>
      <c r="G66" s="3" t="s">
        <v>89</v>
      </c>
      <c r="H66" s="6" t="s">
        <v>316</v>
      </c>
      <c r="I66" s="6" t="s">
        <v>577</v>
      </c>
      <c r="J66" s="6" t="s">
        <v>578</v>
      </c>
      <c r="K66" s="6" t="s">
        <v>558</v>
      </c>
      <c r="L66" s="8" t="s">
        <v>548</v>
      </c>
      <c r="M66" s="9" t="s">
        <v>107</v>
      </c>
      <c r="N66" s="9" t="s">
        <v>579</v>
      </c>
      <c r="O66" s="8" t="s">
        <v>75</v>
      </c>
      <c r="P66" s="14"/>
      <c r="Q66" s="6" t="s">
        <v>574</v>
      </c>
    </row>
    <row r="67" ht="15.75" customHeight="1">
      <c r="A67" s="3" t="s">
        <v>580</v>
      </c>
      <c r="B67" s="3" t="s">
        <v>110</v>
      </c>
      <c r="C67" s="6" t="s">
        <v>111</v>
      </c>
      <c r="D67" s="3" t="s">
        <v>113</v>
      </c>
      <c r="E67" s="3" t="s">
        <v>55</v>
      </c>
      <c r="F67" s="6" t="s">
        <v>581</v>
      </c>
      <c r="G67" s="3" t="s">
        <v>149</v>
      </c>
      <c r="H67" s="6" t="s">
        <v>316</v>
      </c>
      <c r="I67" s="6" t="s">
        <v>582</v>
      </c>
      <c r="J67" s="6" t="s">
        <v>583</v>
      </c>
      <c r="K67" s="6" t="s">
        <v>584</v>
      </c>
      <c r="L67" s="8" t="s">
        <v>584</v>
      </c>
      <c r="M67" s="9" t="s">
        <v>59</v>
      </c>
      <c r="N67" s="11"/>
      <c r="O67" s="8" t="s">
        <v>75</v>
      </c>
      <c r="P67" s="14"/>
      <c r="Q67" s="6"/>
    </row>
    <row r="68" ht="15.75" customHeight="1">
      <c r="A68" s="3" t="s">
        <v>585</v>
      </c>
      <c r="B68" s="3" t="s">
        <v>110</v>
      </c>
      <c r="C68" s="6" t="s">
        <v>111</v>
      </c>
      <c r="D68" s="3" t="s">
        <v>113</v>
      </c>
      <c r="E68" s="3" t="s">
        <v>55</v>
      </c>
      <c r="F68" s="6" t="s">
        <v>586</v>
      </c>
      <c r="G68" s="3" t="s">
        <v>149</v>
      </c>
      <c r="H68" s="6" t="s">
        <v>316</v>
      </c>
      <c r="I68" s="6" t="s">
        <v>587</v>
      </c>
      <c r="J68" s="6" t="s">
        <v>588</v>
      </c>
      <c r="K68" s="6" t="s">
        <v>589</v>
      </c>
      <c r="L68" s="8" t="s">
        <v>589</v>
      </c>
      <c r="M68" s="9" t="s">
        <v>59</v>
      </c>
      <c r="N68" s="11"/>
      <c r="O68" s="8" t="s">
        <v>75</v>
      </c>
      <c r="P68" s="14"/>
      <c r="Q68" s="6"/>
    </row>
    <row r="69" ht="15.75" customHeight="1">
      <c r="A69" s="3" t="s">
        <v>590</v>
      </c>
      <c r="B69" s="3" t="s">
        <v>110</v>
      </c>
      <c r="C69" s="6" t="s">
        <v>111</v>
      </c>
      <c r="D69" s="3" t="s">
        <v>113</v>
      </c>
      <c r="E69" s="3" t="s">
        <v>55</v>
      </c>
      <c r="F69" s="6" t="s">
        <v>591</v>
      </c>
      <c r="G69" s="3" t="s">
        <v>89</v>
      </c>
      <c r="H69" s="6" t="s">
        <v>316</v>
      </c>
      <c r="I69" s="6" t="s">
        <v>592</v>
      </c>
      <c r="J69" s="6" t="s">
        <v>593</v>
      </c>
      <c r="K69" s="6" t="s">
        <v>594</v>
      </c>
      <c r="L69" s="8" t="s">
        <v>594</v>
      </c>
      <c r="M69" s="9" t="s">
        <v>59</v>
      </c>
      <c r="N69" s="11"/>
      <c r="O69" s="8" t="s">
        <v>75</v>
      </c>
      <c r="P69" s="14"/>
      <c r="Q69" s="6"/>
    </row>
    <row r="70" ht="15.75" customHeight="1">
      <c r="A70" s="3" t="s">
        <v>595</v>
      </c>
      <c r="B70" s="3" t="s">
        <v>110</v>
      </c>
      <c r="C70" s="6" t="s">
        <v>111</v>
      </c>
      <c r="D70" s="3" t="s">
        <v>113</v>
      </c>
      <c r="E70" s="3" t="s">
        <v>55</v>
      </c>
      <c r="F70" s="6" t="s">
        <v>596</v>
      </c>
      <c r="G70" s="3" t="s">
        <v>89</v>
      </c>
      <c r="H70" s="6" t="s">
        <v>597</v>
      </c>
      <c r="I70" s="6" t="s">
        <v>598</v>
      </c>
      <c r="J70" s="6" t="s">
        <v>599</v>
      </c>
      <c r="K70" s="6" t="s">
        <v>600</v>
      </c>
      <c r="L70" s="8" t="s">
        <v>600</v>
      </c>
      <c r="M70" s="9" t="s">
        <v>59</v>
      </c>
      <c r="N70" s="11"/>
      <c r="O70" s="8" t="s">
        <v>75</v>
      </c>
      <c r="P70" s="14"/>
      <c r="Q70" s="6"/>
    </row>
    <row r="71" ht="15.75" customHeight="1">
      <c r="A71" s="3" t="s">
        <v>601</v>
      </c>
      <c r="B71" s="3" t="s">
        <v>110</v>
      </c>
      <c r="C71" s="6" t="s">
        <v>111</v>
      </c>
      <c r="D71" s="3" t="s">
        <v>113</v>
      </c>
      <c r="E71" s="3" t="s">
        <v>55</v>
      </c>
      <c r="F71" s="6" t="s">
        <v>602</v>
      </c>
      <c r="G71" s="3" t="s">
        <v>89</v>
      </c>
      <c r="H71" s="6" t="s">
        <v>597</v>
      </c>
      <c r="I71" s="6" t="s">
        <v>603</v>
      </c>
      <c r="J71" s="6" t="s">
        <v>604</v>
      </c>
      <c r="K71" s="6" t="s">
        <v>605</v>
      </c>
      <c r="L71" s="8" t="s">
        <v>605</v>
      </c>
      <c r="M71" s="9" t="s">
        <v>59</v>
      </c>
      <c r="N71" s="11"/>
      <c r="O71" s="8" t="s">
        <v>75</v>
      </c>
      <c r="P71" s="14"/>
      <c r="Q71" s="6" t="s">
        <v>606</v>
      </c>
    </row>
    <row r="72" ht="15.75" customHeight="1">
      <c r="A72" s="3" t="s">
        <v>607</v>
      </c>
      <c r="B72" s="3" t="s">
        <v>124</v>
      </c>
      <c r="C72" s="6" t="s">
        <v>125</v>
      </c>
      <c r="D72" s="3" t="s">
        <v>126</v>
      </c>
      <c r="E72" s="3" t="s">
        <v>55</v>
      </c>
      <c r="F72" s="6" t="s">
        <v>608</v>
      </c>
      <c r="G72" s="3" t="s">
        <v>48</v>
      </c>
      <c r="H72" s="6" t="s">
        <v>609</v>
      </c>
      <c r="I72" s="6" t="s">
        <v>610</v>
      </c>
      <c r="J72" s="6" t="s">
        <v>547</v>
      </c>
      <c r="K72" s="6" t="s">
        <v>611</v>
      </c>
      <c r="L72" s="8" t="s">
        <v>612</v>
      </c>
      <c r="M72" s="9" t="s">
        <v>107</v>
      </c>
      <c r="N72" s="9" t="s">
        <v>613</v>
      </c>
      <c r="O72" s="8" t="s">
        <v>75</v>
      </c>
      <c r="P72" s="14"/>
      <c r="Q72" s="6"/>
    </row>
    <row r="73" ht="15.75" customHeight="1">
      <c r="A73" s="3" t="s">
        <v>614</v>
      </c>
      <c r="B73" s="3" t="s">
        <v>124</v>
      </c>
      <c r="C73" s="6" t="s">
        <v>125</v>
      </c>
      <c r="D73" s="3" t="s">
        <v>126</v>
      </c>
      <c r="E73" s="3" t="s">
        <v>55</v>
      </c>
      <c r="F73" s="6" t="s">
        <v>615</v>
      </c>
      <c r="G73" s="3" t="s">
        <v>89</v>
      </c>
      <c r="H73" s="6" t="s">
        <v>616</v>
      </c>
      <c r="I73" s="6" t="s">
        <v>617</v>
      </c>
      <c r="J73" s="6" t="s">
        <v>618</v>
      </c>
      <c r="K73" s="6" t="s">
        <v>612</v>
      </c>
      <c r="L73" s="8" t="s">
        <v>612</v>
      </c>
      <c r="M73" s="9" t="s">
        <v>59</v>
      </c>
      <c r="N73" s="11"/>
      <c r="O73" s="8" t="s">
        <v>75</v>
      </c>
      <c r="P73" s="14"/>
      <c r="Q73" s="6"/>
    </row>
    <row r="74" ht="15.75" customHeight="1">
      <c r="A74" s="3" t="s">
        <v>619</v>
      </c>
      <c r="B74" s="3" t="s">
        <v>124</v>
      </c>
      <c r="C74" s="6" t="s">
        <v>125</v>
      </c>
      <c r="D74" s="3" t="s">
        <v>126</v>
      </c>
      <c r="E74" s="3" t="s">
        <v>55</v>
      </c>
      <c r="F74" s="6" t="s">
        <v>620</v>
      </c>
      <c r="G74" s="3" t="s">
        <v>89</v>
      </c>
      <c r="H74" s="6" t="s">
        <v>316</v>
      </c>
      <c r="I74" s="6" t="s">
        <v>621</v>
      </c>
      <c r="J74" s="6" t="s">
        <v>622</v>
      </c>
      <c r="K74" s="6" t="s">
        <v>623</v>
      </c>
      <c r="L74" s="8" t="s">
        <v>623</v>
      </c>
      <c r="M74" s="9" t="s">
        <v>59</v>
      </c>
      <c r="N74" s="11"/>
      <c r="O74" s="8" t="s">
        <v>75</v>
      </c>
      <c r="P74" s="14"/>
      <c r="Q74" s="6"/>
    </row>
    <row r="75" ht="15.75" customHeight="1">
      <c r="A75" s="3" t="s">
        <v>624</v>
      </c>
      <c r="B75" s="3" t="s">
        <v>124</v>
      </c>
      <c r="C75" s="6" t="s">
        <v>125</v>
      </c>
      <c r="D75" s="3" t="s">
        <v>126</v>
      </c>
      <c r="E75" s="3" t="s">
        <v>55</v>
      </c>
      <c r="F75" s="6" t="s">
        <v>625</v>
      </c>
      <c r="G75" s="3" t="s">
        <v>89</v>
      </c>
      <c r="H75" s="6" t="s">
        <v>616</v>
      </c>
      <c r="I75" s="6" t="s">
        <v>626</v>
      </c>
      <c r="J75" s="6" t="s">
        <v>627</v>
      </c>
      <c r="K75" s="6" t="s">
        <v>628</v>
      </c>
      <c r="L75" s="8" t="s">
        <v>628</v>
      </c>
      <c r="M75" s="18" t="s">
        <v>59</v>
      </c>
      <c r="N75" s="11"/>
      <c r="O75" s="8" t="s">
        <v>75</v>
      </c>
      <c r="P75" s="14"/>
      <c r="Q75" s="6"/>
    </row>
    <row r="76" ht="15.75" customHeight="1">
      <c r="A76" s="3" t="s">
        <v>629</v>
      </c>
      <c r="B76" s="3" t="s">
        <v>124</v>
      </c>
      <c r="C76" s="6" t="s">
        <v>125</v>
      </c>
      <c r="D76" s="3" t="s">
        <v>126</v>
      </c>
      <c r="E76" s="3" t="s">
        <v>55</v>
      </c>
      <c r="F76" s="6" t="s">
        <v>630</v>
      </c>
      <c r="G76" s="3" t="s">
        <v>89</v>
      </c>
      <c r="H76" s="6" t="s">
        <v>316</v>
      </c>
      <c r="I76" s="6" t="s">
        <v>631</v>
      </c>
      <c r="J76" s="6" t="s">
        <v>632</v>
      </c>
      <c r="K76" s="6" t="s">
        <v>633</v>
      </c>
      <c r="L76" s="12" t="str">
        <f>IFERROR(__xludf.DUMMYFUNCTION("AI(""Fill an appropriate value for this cell based on the table context"")"),"Login fails with a visible error message.")</f>
        <v>Login fails with a visible error message.</v>
      </c>
      <c r="M76" s="9" t="s">
        <v>59</v>
      </c>
      <c r="N76" s="11"/>
      <c r="O76" s="8" t="s">
        <v>75</v>
      </c>
      <c r="P76" s="14"/>
      <c r="Q76" s="6"/>
    </row>
    <row r="77" ht="15.75" customHeight="1">
      <c r="A77" s="3" t="s">
        <v>634</v>
      </c>
      <c r="B77" s="3" t="s">
        <v>132</v>
      </c>
      <c r="C77" s="6" t="s">
        <v>135</v>
      </c>
      <c r="D77" s="3" t="s">
        <v>137</v>
      </c>
      <c r="E77" s="3" t="s">
        <v>55</v>
      </c>
      <c r="F77" s="6" t="s">
        <v>635</v>
      </c>
      <c r="G77" s="3" t="s">
        <v>48</v>
      </c>
      <c r="H77" s="6" t="s">
        <v>616</v>
      </c>
      <c r="I77" s="6" t="s">
        <v>636</v>
      </c>
      <c r="J77" s="6" t="s">
        <v>547</v>
      </c>
      <c r="K77" s="6" t="s">
        <v>637</v>
      </c>
      <c r="L77" s="8" t="s">
        <v>612</v>
      </c>
      <c r="M77" s="9" t="s">
        <v>107</v>
      </c>
      <c r="N77" s="9" t="s">
        <v>638</v>
      </c>
      <c r="O77" s="8" t="s">
        <v>75</v>
      </c>
      <c r="P77" s="14"/>
      <c r="Q77" s="6"/>
    </row>
    <row r="78" ht="15.75" customHeight="1">
      <c r="A78" s="3" t="s">
        <v>639</v>
      </c>
      <c r="B78" s="3" t="s">
        <v>132</v>
      </c>
      <c r="C78" s="6" t="s">
        <v>135</v>
      </c>
      <c r="D78" s="3" t="s">
        <v>137</v>
      </c>
      <c r="E78" s="3" t="s">
        <v>55</v>
      </c>
      <c r="F78" s="6" t="s">
        <v>640</v>
      </c>
      <c r="G78" s="3" t="s">
        <v>48</v>
      </c>
      <c r="H78" s="6" t="s">
        <v>267</v>
      </c>
      <c r="I78" s="6" t="s">
        <v>641</v>
      </c>
      <c r="J78" s="6" t="s">
        <v>547</v>
      </c>
      <c r="K78" s="6" t="s">
        <v>642</v>
      </c>
      <c r="L78" s="8" t="s">
        <v>642</v>
      </c>
      <c r="M78" s="9" t="s">
        <v>59</v>
      </c>
      <c r="N78" s="11"/>
      <c r="O78" s="8" t="s">
        <v>75</v>
      </c>
      <c r="P78" s="14"/>
      <c r="Q78" s="6"/>
    </row>
    <row r="79" ht="15.75" customHeight="1">
      <c r="A79" s="3" t="s">
        <v>643</v>
      </c>
      <c r="B79" s="3" t="s">
        <v>132</v>
      </c>
      <c r="C79" s="6" t="s">
        <v>135</v>
      </c>
      <c r="D79" s="3" t="s">
        <v>137</v>
      </c>
      <c r="E79" s="3" t="s">
        <v>55</v>
      </c>
      <c r="F79" s="6" t="s">
        <v>644</v>
      </c>
      <c r="G79" s="3" t="s">
        <v>89</v>
      </c>
      <c r="H79" s="6" t="s">
        <v>316</v>
      </c>
      <c r="I79" s="6" t="s">
        <v>645</v>
      </c>
      <c r="J79" s="6" t="s">
        <v>646</v>
      </c>
      <c r="K79" s="6" t="s">
        <v>647</v>
      </c>
      <c r="L79" s="8" t="s">
        <v>647</v>
      </c>
      <c r="M79" s="9" t="s">
        <v>59</v>
      </c>
      <c r="N79" s="11"/>
      <c r="O79" s="8" t="s">
        <v>75</v>
      </c>
      <c r="P79" s="14"/>
      <c r="Q79" s="6"/>
    </row>
    <row r="80" ht="15.75" customHeight="1">
      <c r="A80" s="3" t="s">
        <v>648</v>
      </c>
      <c r="B80" s="3" t="s">
        <v>132</v>
      </c>
      <c r="C80" s="6" t="s">
        <v>135</v>
      </c>
      <c r="D80" s="3" t="s">
        <v>137</v>
      </c>
      <c r="E80" s="3" t="s">
        <v>55</v>
      </c>
      <c r="F80" s="6" t="s">
        <v>649</v>
      </c>
      <c r="G80" s="3" t="s">
        <v>48</v>
      </c>
      <c r="H80" s="6" t="s">
        <v>650</v>
      </c>
      <c r="I80" s="6" t="s">
        <v>651</v>
      </c>
      <c r="J80" s="6" t="s">
        <v>547</v>
      </c>
      <c r="K80" s="6" t="s">
        <v>652</v>
      </c>
      <c r="L80" s="8" t="s">
        <v>612</v>
      </c>
      <c r="M80" s="9" t="s">
        <v>107</v>
      </c>
      <c r="N80" s="9" t="s">
        <v>653</v>
      </c>
      <c r="O80" s="8" t="s">
        <v>75</v>
      </c>
      <c r="P80" s="14"/>
      <c r="Q80" s="6"/>
    </row>
    <row r="81" ht="15.75" customHeight="1">
      <c r="A81" s="3" t="s">
        <v>654</v>
      </c>
      <c r="B81" s="3" t="s">
        <v>132</v>
      </c>
      <c r="C81" s="6" t="s">
        <v>135</v>
      </c>
      <c r="D81" s="3" t="s">
        <v>137</v>
      </c>
      <c r="E81" s="3" t="s">
        <v>55</v>
      </c>
      <c r="F81" s="6" t="s">
        <v>655</v>
      </c>
      <c r="G81" s="3" t="s">
        <v>89</v>
      </c>
      <c r="H81" s="6" t="s">
        <v>91</v>
      </c>
      <c r="I81" s="6" t="s">
        <v>656</v>
      </c>
      <c r="J81" s="6" t="s">
        <v>657</v>
      </c>
      <c r="K81" s="6" t="s">
        <v>658</v>
      </c>
      <c r="L81" s="8" t="s">
        <v>658</v>
      </c>
      <c r="M81" s="9" t="s">
        <v>59</v>
      </c>
      <c r="N81" s="11"/>
      <c r="O81" s="8" t="s">
        <v>75</v>
      </c>
      <c r="P81" s="14" t="str">
        <f>IFERROR(__xludf.DUMMYFUNCTION("AI(""Fill an appropriate value for this cell based on the table context"")"),"")</f>
        <v/>
      </c>
      <c r="Q81" s="6"/>
    </row>
    <row r="82" ht="15.75" customHeight="1">
      <c r="A82" s="3" t="s">
        <v>659</v>
      </c>
      <c r="B82" s="3" t="s">
        <v>142</v>
      </c>
      <c r="C82" s="6" t="s">
        <v>143</v>
      </c>
      <c r="D82" s="3" t="s">
        <v>144</v>
      </c>
      <c r="E82" s="3" t="s">
        <v>55</v>
      </c>
      <c r="F82" s="6" t="s">
        <v>660</v>
      </c>
      <c r="G82" s="3" t="s">
        <v>48</v>
      </c>
      <c r="H82" s="6" t="s">
        <v>267</v>
      </c>
      <c r="I82" s="6" t="s">
        <v>661</v>
      </c>
      <c r="J82" s="6" t="s">
        <v>282</v>
      </c>
      <c r="K82" s="6" t="s">
        <v>662</v>
      </c>
      <c r="L82" s="8" t="s">
        <v>662</v>
      </c>
      <c r="M82" s="9" t="s">
        <v>59</v>
      </c>
      <c r="N82" s="11"/>
      <c r="O82" s="8" t="s">
        <v>75</v>
      </c>
      <c r="P82" s="14"/>
      <c r="Q82" s="6"/>
    </row>
    <row r="83" ht="15.75" customHeight="1">
      <c r="A83" s="3" t="s">
        <v>663</v>
      </c>
      <c r="B83" s="3" t="s">
        <v>142</v>
      </c>
      <c r="C83" s="6" t="s">
        <v>143</v>
      </c>
      <c r="D83" s="3" t="s">
        <v>144</v>
      </c>
      <c r="E83" s="3" t="s">
        <v>55</v>
      </c>
      <c r="F83" s="6" t="s">
        <v>664</v>
      </c>
      <c r="G83" s="3" t="s">
        <v>48</v>
      </c>
      <c r="H83" s="6" t="s">
        <v>267</v>
      </c>
      <c r="I83" s="6" t="s">
        <v>665</v>
      </c>
      <c r="J83" s="6" t="s">
        <v>282</v>
      </c>
      <c r="K83" s="6" t="s">
        <v>666</v>
      </c>
      <c r="L83" s="8" t="s">
        <v>666</v>
      </c>
      <c r="M83" s="9" t="s">
        <v>59</v>
      </c>
      <c r="N83" s="11"/>
      <c r="O83" s="8" t="s">
        <v>75</v>
      </c>
      <c r="P83" s="14"/>
      <c r="Q83" s="6"/>
    </row>
    <row r="84" ht="15.75" customHeight="1">
      <c r="A84" s="3" t="s">
        <v>667</v>
      </c>
      <c r="B84" s="3" t="s">
        <v>142</v>
      </c>
      <c r="C84" s="6" t="s">
        <v>143</v>
      </c>
      <c r="D84" s="3" t="s">
        <v>144</v>
      </c>
      <c r="E84" s="3" t="s">
        <v>55</v>
      </c>
      <c r="F84" s="6" t="s">
        <v>668</v>
      </c>
      <c r="G84" s="3" t="s">
        <v>89</v>
      </c>
      <c r="H84" s="6" t="s">
        <v>669</v>
      </c>
      <c r="I84" s="6" t="s">
        <v>670</v>
      </c>
      <c r="J84" s="6" t="s">
        <v>671</v>
      </c>
      <c r="K84" s="6" t="s">
        <v>672</v>
      </c>
      <c r="L84" s="8" t="s">
        <v>612</v>
      </c>
      <c r="M84" s="9" t="s">
        <v>107</v>
      </c>
      <c r="N84" s="9" t="s">
        <v>673</v>
      </c>
      <c r="O84" s="8" t="s">
        <v>75</v>
      </c>
      <c r="P84" s="14"/>
      <c r="Q84" s="6"/>
    </row>
    <row r="85" ht="15.75" customHeight="1">
      <c r="A85" s="3" t="s">
        <v>674</v>
      </c>
      <c r="B85" s="3" t="s">
        <v>142</v>
      </c>
      <c r="C85" s="6" t="s">
        <v>143</v>
      </c>
      <c r="D85" s="3" t="s">
        <v>144</v>
      </c>
      <c r="E85" s="3" t="s">
        <v>55</v>
      </c>
      <c r="F85" s="6" t="s">
        <v>675</v>
      </c>
      <c r="G85" s="3" t="s">
        <v>48</v>
      </c>
      <c r="H85" s="6" t="s">
        <v>676</v>
      </c>
      <c r="I85" s="6" t="s">
        <v>677</v>
      </c>
      <c r="J85" s="6" t="s">
        <v>678</v>
      </c>
      <c r="K85" s="6" t="s">
        <v>679</v>
      </c>
      <c r="L85" s="8" t="s">
        <v>679</v>
      </c>
      <c r="M85" s="9" t="s">
        <v>59</v>
      </c>
      <c r="N85" s="11"/>
      <c r="O85" s="8" t="s">
        <v>75</v>
      </c>
      <c r="P85" s="14"/>
      <c r="Q85" s="6"/>
    </row>
    <row r="86" ht="15.75" customHeight="1">
      <c r="A86" s="3" t="s">
        <v>680</v>
      </c>
      <c r="B86" s="3" t="s">
        <v>142</v>
      </c>
      <c r="C86" s="6" t="s">
        <v>143</v>
      </c>
      <c r="D86" s="3" t="s">
        <v>144</v>
      </c>
      <c r="E86" s="3" t="s">
        <v>55</v>
      </c>
      <c r="F86" s="6" t="s">
        <v>681</v>
      </c>
      <c r="G86" s="3" t="s">
        <v>89</v>
      </c>
      <c r="H86" s="6" t="s">
        <v>316</v>
      </c>
      <c r="I86" s="6" t="s">
        <v>682</v>
      </c>
      <c r="J86" s="6" t="s">
        <v>646</v>
      </c>
      <c r="K86" s="6" t="s">
        <v>683</v>
      </c>
      <c r="L86" s="8" t="s">
        <v>683</v>
      </c>
      <c r="M86" s="9" t="s">
        <v>59</v>
      </c>
      <c r="N86" s="11"/>
      <c r="O86" s="8" t="s">
        <v>75</v>
      </c>
      <c r="P86" s="14"/>
      <c r="Q86" s="6"/>
    </row>
    <row r="87" ht="15.75" customHeight="1">
      <c r="A87" s="3" t="s">
        <v>684</v>
      </c>
      <c r="B87" s="3" t="s">
        <v>142</v>
      </c>
      <c r="C87" s="6" t="s">
        <v>143</v>
      </c>
      <c r="D87" s="3" t="s">
        <v>144</v>
      </c>
      <c r="E87" s="3" t="s">
        <v>55</v>
      </c>
      <c r="F87" s="6" t="s">
        <v>685</v>
      </c>
      <c r="G87" s="3" t="s">
        <v>48</v>
      </c>
      <c r="H87" s="6" t="s">
        <v>267</v>
      </c>
      <c r="I87" s="6" t="s">
        <v>686</v>
      </c>
      <c r="J87" s="6" t="s">
        <v>687</v>
      </c>
      <c r="K87" s="6" t="s">
        <v>688</v>
      </c>
      <c r="L87" s="8" t="s">
        <v>688</v>
      </c>
      <c r="M87" s="9" t="s">
        <v>59</v>
      </c>
      <c r="N87" s="11"/>
      <c r="O87" s="8" t="s">
        <v>75</v>
      </c>
      <c r="P87" s="14"/>
      <c r="Q87" s="6"/>
    </row>
    <row r="88" ht="15.75" customHeight="1">
      <c r="A88" s="3" t="s">
        <v>689</v>
      </c>
      <c r="B88" s="3" t="s">
        <v>152</v>
      </c>
      <c r="C88" s="6" t="s">
        <v>154</v>
      </c>
      <c r="D88" s="3" t="s">
        <v>156</v>
      </c>
      <c r="E88" s="3" t="s">
        <v>153</v>
      </c>
      <c r="F88" s="6" t="s">
        <v>690</v>
      </c>
      <c r="G88" s="3" t="s">
        <v>48</v>
      </c>
      <c r="H88" s="6" t="s">
        <v>316</v>
      </c>
      <c r="I88" s="6" t="s">
        <v>691</v>
      </c>
      <c r="J88" s="6" t="s">
        <v>692</v>
      </c>
      <c r="K88" s="6" t="s">
        <v>693</v>
      </c>
      <c r="L88" s="8" t="s">
        <v>693</v>
      </c>
      <c r="M88" s="9" t="s">
        <v>59</v>
      </c>
      <c r="N88" s="11"/>
      <c r="O88" s="8" t="s">
        <v>75</v>
      </c>
      <c r="P88" s="14"/>
      <c r="Q88" s="6"/>
    </row>
    <row r="89" ht="15.75" customHeight="1">
      <c r="A89" s="3" t="s">
        <v>694</v>
      </c>
      <c r="B89" s="3" t="s">
        <v>152</v>
      </c>
      <c r="C89" s="6" t="s">
        <v>154</v>
      </c>
      <c r="D89" s="3" t="s">
        <v>156</v>
      </c>
      <c r="E89" s="3" t="s">
        <v>153</v>
      </c>
      <c r="F89" s="6" t="s">
        <v>695</v>
      </c>
      <c r="G89" s="3" t="s">
        <v>48</v>
      </c>
      <c r="H89" s="6" t="s">
        <v>316</v>
      </c>
      <c r="I89" s="6" t="s">
        <v>696</v>
      </c>
      <c r="J89" s="6" t="s">
        <v>697</v>
      </c>
      <c r="K89" s="6" t="s">
        <v>698</v>
      </c>
      <c r="L89" s="8" t="s">
        <v>698</v>
      </c>
      <c r="M89" s="9" t="s">
        <v>59</v>
      </c>
      <c r="N89" s="11"/>
      <c r="O89" s="8" t="s">
        <v>75</v>
      </c>
      <c r="P89" s="14"/>
      <c r="Q89" s="6"/>
    </row>
    <row r="90" ht="15.75" customHeight="1">
      <c r="A90" s="3" t="s">
        <v>699</v>
      </c>
      <c r="B90" s="3" t="s">
        <v>152</v>
      </c>
      <c r="C90" s="6" t="s">
        <v>154</v>
      </c>
      <c r="D90" s="3" t="s">
        <v>156</v>
      </c>
      <c r="E90" s="3" t="s">
        <v>153</v>
      </c>
      <c r="F90" s="6" t="s">
        <v>700</v>
      </c>
      <c r="G90" s="3" t="s">
        <v>48</v>
      </c>
      <c r="H90" s="6" t="s">
        <v>316</v>
      </c>
      <c r="I90" s="6" t="s">
        <v>701</v>
      </c>
      <c r="J90" s="6" t="s">
        <v>702</v>
      </c>
      <c r="K90" s="6" t="s">
        <v>703</v>
      </c>
      <c r="L90" s="8" t="s">
        <v>703</v>
      </c>
      <c r="M90" s="9" t="s">
        <v>59</v>
      </c>
      <c r="N90" s="11"/>
      <c r="O90" s="8" t="s">
        <v>75</v>
      </c>
      <c r="P90" s="14"/>
      <c r="Q90" s="6"/>
    </row>
    <row r="91" ht="15.75" customHeight="1">
      <c r="A91" s="3" t="s">
        <v>704</v>
      </c>
      <c r="B91" s="3" t="s">
        <v>152</v>
      </c>
      <c r="C91" s="6" t="s">
        <v>154</v>
      </c>
      <c r="D91" s="3" t="s">
        <v>156</v>
      </c>
      <c r="E91" s="3" t="s">
        <v>153</v>
      </c>
      <c r="F91" s="6" t="s">
        <v>705</v>
      </c>
      <c r="G91" s="3" t="s">
        <v>89</v>
      </c>
      <c r="H91" s="6" t="s">
        <v>316</v>
      </c>
      <c r="I91" s="6" t="s">
        <v>706</v>
      </c>
      <c r="J91" s="6" t="s">
        <v>702</v>
      </c>
      <c r="K91" s="6" t="s">
        <v>707</v>
      </c>
      <c r="L91" s="8" t="s">
        <v>707</v>
      </c>
      <c r="M91" s="9" t="s">
        <v>59</v>
      </c>
      <c r="N91" s="11"/>
      <c r="O91" s="8" t="s">
        <v>75</v>
      </c>
      <c r="P91" s="14"/>
      <c r="Q91" s="6"/>
    </row>
    <row r="92" ht="15.75" customHeight="1">
      <c r="A92" s="3" t="s">
        <v>708</v>
      </c>
      <c r="B92" s="3" t="s">
        <v>162</v>
      </c>
      <c r="C92" s="6" t="s">
        <v>163</v>
      </c>
      <c r="D92" s="3" t="s">
        <v>164</v>
      </c>
      <c r="E92" s="3" t="s">
        <v>153</v>
      </c>
      <c r="F92" s="6" t="s">
        <v>709</v>
      </c>
      <c r="G92" s="3" t="s">
        <v>48</v>
      </c>
      <c r="H92" s="6" t="s">
        <v>316</v>
      </c>
      <c r="I92" s="6" t="s">
        <v>710</v>
      </c>
      <c r="J92" s="6" t="s">
        <v>357</v>
      </c>
      <c r="K92" s="6" t="s">
        <v>711</v>
      </c>
      <c r="L92" s="8" t="s">
        <v>711</v>
      </c>
      <c r="M92" s="9" t="s">
        <v>59</v>
      </c>
      <c r="N92" s="9"/>
      <c r="O92" s="8" t="s">
        <v>75</v>
      </c>
      <c r="P92" s="14"/>
      <c r="Q92" s="6"/>
    </row>
    <row r="93" ht="15.75" customHeight="1">
      <c r="A93" s="3" t="s">
        <v>712</v>
      </c>
      <c r="B93" s="3" t="s">
        <v>162</v>
      </c>
      <c r="C93" s="6" t="s">
        <v>163</v>
      </c>
      <c r="D93" s="3" t="s">
        <v>164</v>
      </c>
      <c r="E93" s="3" t="s">
        <v>153</v>
      </c>
      <c r="F93" s="6" t="s">
        <v>713</v>
      </c>
      <c r="G93" s="3" t="s">
        <v>48</v>
      </c>
      <c r="H93" s="6" t="s">
        <v>316</v>
      </c>
      <c r="I93" s="6" t="s">
        <v>714</v>
      </c>
      <c r="J93" s="6" t="s">
        <v>715</v>
      </c>
      <c r="K93" s="6" t="s">
        <v>716</v>
      </c>
      <c r="L93" s="8" t="s">
        <v>717</v>
      </c>
      <c r="M93" s="9" t="s">
        <v>107</v>
      </c>
      <c r="N93" s="9" t="s">
        <v>718</v>
      </c>
      <c r="O93" s="8" t="s">
        <v>75</v>
      </c>
      <c r="P93" s="14"/>
      <c r="Q93" s="6"/>
    </row>
    <row r="94" ht="15.75" customHeight="1">
      <c r="A94" s="3" t="s">
        <v>719</v>
      </c>
      <c r="B94" s="3" t="s">
        <v>162</v>
      </c>
      <c r="C94" s="6" t="s">
        <v>163</v>
      </c>
      <c r="D94" s="3" t="s">
        <v>164</v>
      </c>
      <c r="E94" s="3" t="s">
        <v>153</v>
      </c>
      <c r="F94" s="6" t="s">
        <v>720</v>
      </c>
      <c r="G94" s="3" t="s">
        <v>48</v>
      </c>
      <c r="H94" s="6" t="s">
        <v>316</v>
      </c>
      <c r="I94" s="6" t="s">
        <v>721</v>
      </c>
      <c r="J94" s="6" t="s">
        <v>722</v>
      </c>
      <c r="K94" s="6" t="s">
        <v>723</v>
      </c>
      <c r="L94" s="8" t="s">
        <v>724</v>
      </c>
      <c r="M94" s="9" t="s">
        <v>107</v>
      </c>
      <c r="N94" s="9" t="s">
        <v>725</v>
      </c>
      <c r="O94" s="8" t="s">
        <v>75</v>
      </c>
      <c r="P94" s="14"/>
      <c r="Q94" s="6"/>
    </row>
    <row r="95" ht="15.75" customHeight="1">
      <c r="A95" s="3" t="s">
        <v>726</v>
      </c>
      <c r="B95" s="3" t="s">
        <v>162</v>
      </c>
      <c r="C95" s="6" t="s">
        <v>163</v>
      </c>
      <c r="D95" s="3" t="s">
        <v>164</v>
      </c>
      <c r="E95" s="3" t="s">
        <v>153</v>
      </c>
      <c r="F95" s="6" t="s">
        <v>727</v>
      </c>
      <c r="G95" s="3" t="s">
        <v>48</v>
      </c>
      <c r="H95" s="6" t="s">
        <v>316</v>
      </c>
      <c r="I95" s="6" t="s">
        <v>728</v>
      </c>
      <c r="J95" s="6" t="s">
        <v>729</v>
      </c>
      <c r="K95" s="6" t="s">
        <v>730</v>
      </c>
      <c r="L95" s="8" t="s">
        <v>731</v>
      </c>
      <c r="M95" s="9" t="s">
        <v>107</v>
      </c>
      <c r="N95" s="9" t="s">
        <v>732</v>
      </c>
      <c r="O95" s="8" t="s">
        <v>75</v>
      </c>
      <c r="P95" s="14"/>
      <c r="Q95" s="6"/>
    </row>
    <row r="96" ht="15.75" customHeight="1">
      <c r="A96" s="3" t="s">
        <v>733</v>
      </c>
      <c r="B96" s="3" t="s">
        <v>162</v>
      </c>
      <c r="C96" s="6" t="s">
        <v>163</v>
      </c>
      <c r="D96" s="3" t="s">
        <v>164</v>
      </c>
      <c r="E96" s="3" t="s">
        <v>153</v>
      </c>
      <c r="F96" s="6" t="s">
        <v>734</v>
      </c>
      <c r="G96" s="3" t="s">
        <v>89</v>
      </c>
      <c r="H96" s="6" t="s">
        <v>316</v>
      </c>
      <c r="I96" s="6" t="s">
        <v>735</v>
      </c>
      <c r="J96" s="6" t="s">
        <v>736</v>
      </c>
      <c r="K96" s="6" t="s">
        <v>737</v>
      </c>
      <c r="L96" s="8" t="s">
        <v>738</v>
      </c>
      <c r="M96" s="9" t="s">
        <v>59</v>
      </c>
      <c r="N96" s="9"/>
      <c r="O96" s="8" t="s">
        <v>75</v>
      </c>
      <c r="P96" s="14"/>
      <c r="Q96" s="6"/>
    </row>
    <row r="97" ht="15.75" customHeight="1">
      <c r="A97" s="3" t="s">
        <v>739</v>
      </c>
      <c r="B97" s="3" t="s">
        <v>162</v>
      </c>
      <c r="C97" s="6" t="s">
        <v>163</v>
      </c>
      <c r="D97" s="3" t="s">
        <v>164</v>
      </c>
      <c r="E97" s="3" t="s">
        <v>153</v>
      </c>
      <c r="F97" s="6" t="s">
        <v>740</v>
      </c>
      <c r="G97" s="3" t="s">
        <v>48</v>
      </c>
      <c r="H97" s="6" t="s">
        <v>316</v>
      </c>
      <c r="I97" s="6" t="s">
        <v>741</v>
      </c>
      <c r="J97" s="6" t="s">
        <v>742</v>
      </c>
      <c r="K97" s="6" t="s">
        <v>743</v>
      </c>
      <c r="L97" s="8" t="s">
        <v>743</v>
      </c>
      <c r="M97" s="9" t="s">
        <v>59</v>
      </c>
      <c r="N97" s="9"/>
      <c r="O97" s="8" t="s">
        <v>75</v>
      </c>
      <c r="P97" s="14"/>
      <c r="Q97" s="6"/>
    </row>
    <row r="98" ht="15.75" customHeight="1">
      <c r="A98" s="3" t="s">
        <v>744</v>
      </c>
      <c r="B98" s="3" t="s">
        <v>162</v>
      </c>
      <c r="C98" s="6" t="s">
        <v>163</v>
      </c>
      <c r="D98" s="3" t="s">
        <v>164</v>
      </c>
      <c r="E98" s="3" t="s">
        <v>153</v>
      </c>
      <c r="F98" s="6" t="s">
        <v>745</v>
      </c>
      <c r="G98" s="3" t="s">
        <v>48</v>
      </c>
      <c r="H98" s="6" t="s">
        <v>316</v>
      </c>
      <c r="I98" s="6" t="s">
        <v>746</v>
      </c>
      <c r="J98" s="6" t="s">
        <v>747</v>
      </c>
      <c r="K98" s="6" t="s">
        <v>748</v>
      </c>
      <c r="L98" s="8" t="s">
        <v>748</v>
      </c>
      <c r="M98" s="9" t="s">
        <v>59</v>
      </c>
      <c r="N98" s="9"/>
      <c r="O98" s="8" t="s">
        <v>75</v>
      </c>
      <c r="P98" s="14"/>
      <c r="Q98" s="6"/>
    </row>
    <row r="99" ht="15.75" customHeight="1">
      <c r="A99" s="3" t="s">
        <v>749</v>
      </c>
      <c r="B99" s="3" t="s">
        <v>162</v>
      </c>
      <c r="C99" s="6" t="s">
        <v>163</v>
      </c>
      <c r="D99" s="3" t="s">
        <v>164</v>
      </c>
      <c r="E99" s="3" t="s">
        <v>153</v>
      </c>
      <c r="F99" s="6" t="s">
        <v>750</v>
      </c>
      <c r="G99" s="3" t="s">
        <v>89</v>
      </c>
      <c r="H99" s="6" t="s">
        <v>316</v>
      </c>
      <c r="I99" s="6" t="s">
        <v>751</v>
      </c>
      <c r="J99" s="6" t="s">
        <v>752</v>
      </c>
      <c r="K99" s="6" t="s">
        <v>753</v>
      </c>
      <c r="L99" s="8" t="s">
        <v>753</v>
      </c>
      <c r="M99" s="9" t="s">
        <v>59</v>
      </c>
      <c r="N99" s="9"/>
      <c r="O99" s="8" t="s">
        <v>75</v>
      </c>
      <c r="P99" s="14"/>
      <c r="Q99" s="6"/>
    </row>
    <row r="100" ht="15.75" customHeight="1">
      <c r="A100" s="3" t="s">
        <v>754</v>
      </c>
      <c r="B100" s="3" t="s">
        <v>172</v>
      </c>
      <c r="C100" s="6" t="s">
        <v>173</v>
      </c>
      <c r="D100" s="3" t="s">
        <v>174</v>
      </c>
      <c r="E100" s="3" t="s">
        <v>153</v>
      </c>
      <c r="F100" s="6" t="s">
        <v>755</v>
      </c>
      <c r="G100" s="3" t="s">
        <v>48</v>
      </c>
      <c r="H100" s="6" t="s">
        <v>316</v>
      </c>
      <c r="I100" s="6" t="s">
        <v>756</v>
      </c>
      <c r="J100" s="6" t="s">
        <v>692</v>
      </c>
      <c r="K100" s="6" t="s">
        <v>757</v>
      </c>
      <c r="L100" s="8" t="s">
        <v>757</v>
      </c>
      <c r="M100" s="9" t="s">
        <v>59</v>
      </c>
      <c r="N100" s="9"/>
      <c r="O100" s="8" t="s">
        <v>75</v>
      </c>
      <c r="P100" s="14"/>
      <c r="Q100" s="6"/>
    </row>
    <row r="101" ht="15.75" customHeight="1">
      <c r="A101" s="3" t="s">
        <v>758</v>
      </c>
      <c r="B101" s="3" t="s">
        <v>172</v>
      </c>
      <c r="C101" s="6" t="s">
        <v>173</v>
      </c>
      <c r="D101" s="3" t="s">
        <v>174</v>
      </c>
      <c r="E101" s="3" t="s">
        <v>153</v>
      </c>
      <c r="F101" s="6" t="s">
        <v>759</v>
      </c>
      <c r="G101" s="3" t="s">
        <v>48</v>
      </c>
      <c r="H101" s="6" t="s">
        <v>316</v>
      </c>
      <c r="I101" s="6" t="s">
        <v>760</v>
      </c>
      <c r="J101" s="6" t="s">
        <v>692</v>
      </c>
      <c r="K101" s="6" t="s">
        <v>761</v>
      </c>
      <c r="L101" s="8" t="s">
        <v>761</v>
      </c>
      <c r="M101" s="9" t="s">
        <v>59</v>
      </c>
      <c r="N101" s="9"/>
      <c r="O101" s="8" t="s">
        <v>75</v>
      </c>
      <c r="P101" s="14"/>
      <c r="Q101" s="6"/>
    </row>
    <row r="102" ht="15.75" customHeight="1">
      <c r="A102" s="3" t="s">
        <v>762</v>
      </c>
      <c r="B102" s="3" t="s">
        <v>172</v>
      </c>
      <c r="C102" s="6" t="s">
        <v>173</v>
      </c>
      <c r="D102" s="3" t="s">
        <v>174</v>
      </c>
      <c r="E102" s="3" t="s">
        <v>153</v>
      </c>
      <c r="F102" s="6" t="s">
        <v>763</v>
      </c>
      <c r="G102" s="3" t="s">
        <v>48</v>
      </c>
      <c r="H102" s="6" t="s">
        <v>316</v>
      </c>
      <c r="I102" s="6" t="s">
        <v>764</v>
      </c>
      <c r="J102" s="6" t="s">
        <v>765</v>
      </c>
      <c r="K102" s="6" t="s">
        <v>766</v>
      </c>
      <c r="L102" s="8" t="s">
        <v>766</v>
      </c>
      <c r="M102" s="9" t="s">
        <v>59</v>
      </c>
      <c r="N102" s="9"/>
      <c r="O102" s="8" t="s">
        <v>75</v>
      </c>
      <c r="P102" s="14"/>
      <c r="Q102" s="6"/>
    </row>
    <row r="103" ht="15.75" customHeight="1">
      <c r="A103" s="3" t="s">
        <v>767</v>
      </c>
      <c r="B103" s="3" t="s">
        <v>172</v>
      </c>
      <c r="C103" s="6" t="s">
        <v>173</v>
      </c>
      <c r="D103" s="3" t="s">
        <v>174</v>
      </c>
      <c r="E103" s="3" t="s">
        <v>153</v>
      </c>
      <c r="F103" s="6" t="s">
        <v>768</v>
      </c>
      <c r="G103" s="3" t="s">
        <v>48</v>
      </c>
      <c r="H103" s="6" t="s">
        <v>316</v>
      </c>
      <c r="I103" s="6" t="s">
        <v>769</v>
      </c>
      <c r="J103" s="6" t="s">
        <v>770</v>
      </c>
      <c r="K103" s="6" t="s">
        <v>771</v>
      </c>
      <c r="L103" s="8" t="s">
        <v>771</v>
      </c>
      <c r="M103" s="9" t="s">
        <v>59</v>
      </c>
      <c r="N103" s="9"/>
      <c r="O103" s="8" t="s">
        <v>75</v>
      </c>
      <c r="P103" s="14"/>
      <c r="Q103" s="6"/>
    </row>
    <row r="104" ht="15.75" customHeight="1">
      <c r="A104" s="3" t="s">
        <v>772</v>
      </c>
      <c r="B104" s="3" t="s">
        <v>192</v>
      </c>
      <c r="C104" s="6" t="s">
        <v>194</v>
      </c>
      <c r="D104" s="3" t="s">
        <v>195</v>
      </c>
      <c r="E104" s="3" t="s">
        <v>153</v>
      </c>
      <c r="F104" s="6" t="s">
        <v>773</v>
      </c>
      <c r="G104" s="3" t="s">
        <v>48</v>
      </c>
      <c r="H104" s="6" t="s">
        <v>316</v>
      </c>
      <c r="I104" s="6" t="s">
        <v>774</v>
      </c>
      <c r="J104" s="6" t="s">
        <v>775</v>
      </c>
      <c r="K104" s="6" t="s">
        <v>776</v>
      </c>
      <c r="L104" s="8" t="s">
        <v>776</v>
      </c>
      <c r="M104" s="9" t="s">
        <v>59</v>
      </c>
      <c r="N104" s="9"/>
      <c r="O104" s="8" t="s">
        <v>75</v>
      </c>
      <c r="P104" s="14"/>
      <c r="Q104" s="6"/>
    </row>
    <row r="105" ht="15.75" customHeight="1">
      <c r="A105" s="3" t="s">
        <v>777</v>
      </c>
      <c r="B105" s="3" t="s">
        <v>192</v>
      </c>
      <c r="C105" s="6" t="s">
        <v>194</v>
      </c>
      <c r="D105" s="3" t="s">
        <v>195</v>
      </c>
      <c r="E105" s="3" t="s">
        <v>153</v>
      </c>
      <c r="F105" s="6" t="s">
        <v>778</v>
      </c>
      <c r="G105" s="3" t="s">
        <v>48</v>
      </c>
      <c r="H105" s="6" t="s">
        <v>316</v>
      </c>
      <c r="I105" s="6" t="s">
        <v>779</v>
      </c>
      <c r="J105" s="6" t="s">
        <v>780</v>
      </c>
      <c r="K105" s="6" t="s">
        <v>781</v>
      </c>
      <c r="L105" s="8" t="s">
        <v>781</v>
      </c>
      <c r="M105" s="9" t="s">
        <v>59</v>
      </c>
      <c r="N105" s="9"/>
      <c r="O105" s="8" t="s">
        <v>75</v>
      </c>
      <c r="P105" s="14"/>
      <c r="Q105" s="6"/>
    </row>
    <row r="106" ht="15.75" customHeight="1">
      <c r="A106" s="3" t="s">
        <v>782</v>
      </c>
      <c r="B106" s="3" t="s">
        <v>192</v>
      </c>
      <c r="C106" s="6" t="s">
        <v>194</v>
      </c>
      <c r="D106" s="3" t="s">
        <v>195</v>
      </c>
      <c r="E106" s="3" t="s">
        <v>153</v>
      </c>
      <c r="F106" s="6" t="s">
        <v>783</v>
      </c>
      <c r="G106" s="3" t="s">
        <v>48</v>
      </c>
      <c r="H106" s="6" t="s">
        <v>316</v>
      </c>
      <c r="I106" s="6" t="s">
        <v>784</v>
      </c>
      <c r="J106" s="6" t="s">
        <v>785</v>
      </c>
      <c r="K106" s="6" t="s">
        <v>786</v>
      </c>
      <c r="L106" s="8" t="s">
        <v>786</v>
      </c>
      <c r="M106" s="9" t="s">
        <v>59</v>
      </c>
      <c r="N106" s="9"/>
      <c r="O106" s="8" t="s">
        <v>75</v>
      </c>
      <c r="P106" s="14"/>
      <c r="Q106" s="6"/>
    </row>
    <row r="107" ht="15.75" customHeight="1">
      <c r="A107" s="3" t="s">
        <v>787</v>
      </c>
      <c r="B107" s="3" t="s">
        <v>192</v>
      </c>
      <c r="C107" s="6" t="s">
        <v>194</v>
      </c>
      <c r="D107" s="3" t="s">
        <v>195</v>
      </c>
      <c r="E107" s="3" t="s">
        <v>153</v>
      </c>
      <c r="F107" s="6" t="s">
        <v>788</v>
      </c>
      <c r="G107" s="3" t="s">
        <v>48</v>
      </c>
      <c r="H107" s="6" t="s">
        <v>316</v>
      </c>
      <c r="I107" s="6" t="s">
        <v>789</v>
      </c>
      <c r="J107" s="6" t="s">
        <v>790</v>
      </c>
      <c r="K107" s="6" t="s">
        <v>791</v>
      </c>
      <c r="L107" s="8" t="s">
        <v>791</v>
      </c>
      <c r="M107" s="9" t="s">
        <v>59</v>
      </c>
      <c r="N107" s="9"/>
      <c r="O107" s="8" t="s">
        <v>75</v>
      </c>
      <c r="P107" s="14"/>
      <c r="Q107" s="6"/>
    </row>
    <row r="108" ht="15.75" customHeight="1">
      <c r="A108" s="3" t="s">
        <v>792</v>
      </c>
      <c r="B108" s="3" t="s">
        <v>202</v>
      </c>
      <c r="C108" s="6" t="s">
        <v>203</v>
      </c>
      <c r="D108" s="3" t="s">
        <v>205</v>
      </c>
      <c r="E108" s="3" t="s">
        <v>153</v>
      </c>
      <c r="F108" s="6" t="s">
        <v>793</v>
      </c>
      <c r="G108" s="3" t="s">
        <v>48</v>
      </c>
      <c r="H108" s="6" t="s">
        <v>316</v>
      </c>
      <c r="I108" s="6" t="s">
        <v>794</v>
      </c>
      <c r="J108" s="6" t="s">
        <v>357</v>
      </c>
      <c r="K108" s="6" t="s">
        <v>795</v>
      </c>
      <c r="L108" s="8" t="s">
        <v>795</v>
      </c>
      <c r="M108" s="9" t="s">
        <v>59</v>
      </c>
      <c r="N108" s="11"/>
      <c r="O108" s="8" t="s">
        <v>75</v>
      </c>
      <c r="P108" s="14"/>
      <c r="Q108" s="6"/>
    </row>
    <row r="109" ht="15.75" customHeight="1">
      <c r="A109" s="3" t="s">
        <v>796</v>
      </c>
      <c r="B109" s="3" t="s">
        <v>202</v>
      </c>
      <c r="C109" s="6" t="s">
        <v>203</v>
      </c>
      <c r="D109" s="3" t="s">
        <v>205</v>
      </c>
      <c r="E109" s="3" t="s">
        <v>153</v>
      </c>
      <c r="F109" s="6" t="s">
        <v>797</v>
      </c>
      <c r="G109" s="3" t="s">
        <v>48</v>
      </c>
      <c r="H109" s="6" t="s">
        <v>267</v>
      </c>
      <c r="I109" s="6" t="s">
        <v>798</v>
      </c>
      <c r="J109" s="6" t="s">
        <v>547</v>
      </c>
      <c r="K109" s="6" t="s">
        <v>799</v>
      </c>
      <c r="L109" s="10" t="s">
        <v>799</v>
      </c>
      <c r="M109" s="9" t="s">
        <v>59</v>
      </c>
      <c r="N109" s="11"/>
      <c r="O109" s="8" t="s">
        <v>75</v>
      </c>
      <c r="P109" s="14"/>
      <c r="Q109" s="6"/>
    </row>
    <row r="110" ht="15.75" customHeight="1">
      <c r="A110" s="3" t="s">
        <v>800</v>
      </c>
      <c r="B110" s="3" t="s">
        <v>202</v>
      </c>
      <c r="C110" s="6" t="s">
        <v>203</v>
      </c>
      <c r="D110" s="3" t="s">
        <v>205</v>
      </c>
      <c r="E110" s="3" t="s">
        <v>153</v>
      </c>
      <c r="F110" s="6" t="s">
        <v>801</v>
      </c>
      <c r="G110" s="3" t="s">
        <v>48</v>
      </c>
      <c r="H110" s="6" t="s">
        <v>802</v>
      </c>
      <c r="I110" s="6" t="s">
        <v>803</v>
      </c>
      <c r="J110" s="6" t="s">
        <v>282</v>
      </c>
      <c r="K110" s="6" t="s">
        <v>804</v>
      </c>
      <c r="L110" s="8" t="s">
        <v>804</v>
      </c>
      <c r="M110" s="9" t="s">
        <v>59</v>
      </c>
      <c r="N110" s="11"/>
      <c r="O110" s="8" t="s">
        <v>75</v>
      </c>
      <c r="P110" s="14"/>
      <c r="Q110" s="6"/>
    </row>
    <row r="111" ht="15.75" customHeight="1">
      <c r="A111" s="3" t="s">
        <v>805</v>
      </c>
      <c r="B111" s="3" t="s">
        <v>202</v>
      </c>
      <c r="C111" s="6" t="s">
        <v>203</v>
      </c>
      <c r="D111" s="3" t="s">
        <v>205</v>
      </c>
      <c r="E111" s="3" t="s">
        <v>153</v>
      </c>
      <c r="F111" s="6" t="s">
        <v>806</v>
      </c>
      <c r="G111" s="3" t="s">
        <v>48</v>
      </c>
      <c r="H111" s="6" t="s">
        <v>316</v>
      </c>
      <c r="I111" s="6" t="s">
        <v>807</v>
      </c>
      <c r="J111" s="6" t="s">
        <v>808</v>
      </c>
      <c r="K111" s="6" t="s">
        <v>809</v>
      </c>
      <c r="L111" s="8" t="s">
        <v>809</v>
      </c>
      <c r="M111" s="9" t="s">
        <v>59</v>
      </c>
      <c r="N111" s="11"/>
      <c r="O111" s="8" t="s">
        <v>75</v>
      </c>
      <c r="P111" s="14"/>
      <c r="Q111" s="6"/>
    </row>
    <row r="112" ht="15.75" customHeight="1">
      <c r="A112" s="3" t="s">
        <v>810</v>
      </c>
      <c r="B112" s="3" t="s">
        <v>212</v>
      </c>
      <c r="C112" s="6" t="s">
        <v>214</v>
      </c>
      <c r="D112" s="3" t="s">
        <v>205</v>
      </c>
      <c r="E112" s="3" t="s">
        <v>153</v>
      </c>
      <c r="F112" s="6" t="s">
        <v>811</v>
      </c>
      <c r="G112" s="3" t="s">
        <v>89</v>
      </c>
      <c r="H112" s="6" t="s">
        <v>316</v>
      </c>
      <c r="I112" s="6" t="s">
        <v>812</v>
      </c>
      <c r="J112" s="6" t="s">
        <v>813</v>
      </c>
      <c r="K112" s="6" t="s">
        <v>814</v>
      </c>
      <c r="L112" s="8" t="s">
        <v>815</v>
      </c>
      <c r="M112" s="9" t="s">
        <v>107</v>
      </c>
      <c r="N112" s="11"/>
      <c r="O112" s="8" t="s">
        <v>75</v>
      </c>
      <c r="P112" s="14"/>
      <c r="Q112" s="6"/>
    </row>
    <row r="113" ht="15.75" customHeight="1">
      <c r="A113" s="3" t="s">
        <v>816</v>
      </c>
      <c r="B113" s="3" t="s">
        <v>226</v>
      </c>
      <c r="C113" s="6" t="s">
        <v>229</v>
      </c>
      <c r="D113" s="3" t="s">
        <v>205</v>
      </c>
      <c r="E113" s="3" t="s">
        <v>228</v>
      </c>
      <c r="F113" s="6" t="s">
        <v>817</v>
      </c>
      <c r="G113" s="3" t="s">
        <v>48</v>
      </c>
      <c r="H113" s="6" t="s">
        <v>316</v>
      </c>
      <c r="I113" s="6" t="s">
        <v>818</v>
      </c>
      <c r="J113" s="6" t="s">
        <v>819</v>
      </c>
      <c r="K113" s="6" t="s">
        <v>820</v>
      </c>
      <c r="L113" s="10" t="s">
        <v>820</v>
      </c>
      <c r="M113" s="9" t="s">
        <v>59</v>
      </c>
      <c r="N113" s="11"/>
      <c r="O113" s="8" t="s">
        <v>75</v>
      </c>
      <c r="P113" s="14"/>
      <c r="Q113" s="6"/>
    </row>
    <row r="114" ht="15.75" customHeight="1">
      <c r="A114" s="3" t="s">
        <v>821</v>
      </c>
      <c r="B114" s="3" t="s">
        <v>226</v>
      </c>
      <c r="C114" s="6" t="s">
        <v>229</v>
      </c>
      <c r="D114" s="3" t="s">
        <v>205</v>
      </c>
      <c r="E114" s="3" t="s">
        <v>228</v>
      </c>
      <c r="F114" s="6" t="s">
        <v>822</v>
      </c>
      <c r="G114" s="3" t="s">
        <v>48</v>
      </c>
      <c r="H114" s="6" t="s">
        <v>316</v>
      </c>
      <c r="I114" s="6" t="s">
        <v>823</v>
      </c>
      <c r="J114" s="6" t="s">
        <v>819</v>
      </c>
      <c r="K114" s="6" t="s">
        <v>824</v>
      </c>
      <c r="L114" s="8" t="s">
        <v>824</v>
      </c>
      <c r="M114" s="9" t="s">
        <v>59</v>
      </c>
      <c r="N114" s="11"/>
      <c r="O114" s="8" t="s">
        <v>75</v>
      </c>
      <c r="P114" s="14"/>
      <c r="Q114" s="6"/>
    </row>
    <row r="115" ht="15.75" customHeight="1">
      <c r="A115" s="3" t="s">
        <v>825</v>
      </c>
      <c r="B115" s="3" t="s">
        <v>226</v>
      </c>
      <c r="C115" s="6" t="s">
        <v>229</v>
      </c>
      <c r="D115" s="3" t="s">
        <v>205</v>
      </c>
      <c r="E115" s="3" t="s">
        <v>228</v>
      </c>
      <c r="F115" s="6" t="s">
        <v>826</v>
      </c>
      <c r="G115" s="3" t="s">
        <v>48</v>
      </c>
      <c r="H115" s="6" t="s">
        <v>616</v>
      </c>
      <c r="I115" s="6" t="s">
        <v>827</v>
      </c>
      <c r="J115" s="6" t="s">
        <v>52</v>
      </c>
      <c r="K115" s="6" t="s">
        <v>828</v>
      </c>
      <c r="L115" s="8" t="s">
        <v>828</v>
      </c>
      <c r="M115" s="9" t="s">
        <v>59</v>
      </c>
      <c r="N115" s="11"/>
      <c r="O115" s="8" t="s">
        <v>75</v>
      </c>
      <c r="P115" s="14"/>
      <c r="Q115" s="6"/>
    </row>
    <row r="116" ht="15.75" customHeight="1">
      <c r="A116" s="3" t="s">
        <v>829</v>
      </c>
      <c r="B116" s="3" t="s">
        <v>240</v>
      </c>
      <c r="C116" s="6" t="s">
        <v>241</v>
      </c>
      <c r="D116" s="3" t="s">
        <v>205</v>
      </c>
      <c r="E116" s="3" t="s">
        <v>228</v>
      </c>
      <c r="F116" s="6" t="s">
        <v>830</v>
      </c>
      <c r="G116" s="3" t="s">
        <v>48</v>
      </c>
      <c r="H116" s="6" t="s">
        <v>316</v>
      </c>
      <c r="I116" s="6" t="s">
        <v>831</v>
      </c>
      <c r="J116" s="6" t="s">
        <v>832</v>
      </c>
      <c r="K116" s="19" t="s">
        <v>833</v>
      </c>
      <c r="L116" s="8" t="s">
        <v>834</v>
      </c>
      <c r="M116" s="9" t="s">
        <v>59</v>
      </c>
      <c r="N116" s="11"/>
      <c r="O116" s="8" t="s">
        <v>75</v>
      </c>
      <c r="P116" s="14"/>
      <c r="Q116" s="6"/>
    </row>
    <row r="117" ht="15.75" customHeight="1">
      <c r="A117" s="3" t="s">
        <v>835</v>
      </c>
      <c r="B117" s="3" t="s">
        <v>240</v>
      </c>
      <c r="C117" s="6" t="s">
        <v>241</v>
      </c>
      <c r="D117" s="3" t="s">
        <v>205</v>
      </c>
      <c r="E117" s="3" t="s">
        <v>228</v>
      </c>
      <c r="F117" s="6" t="s">
        <v>836</v>
      </c>
      <c r="G117" s="3" t="s">
        <v>48</v>
      </c>
      <c r="H117" s="6" t="s">
        <v>91</v>
      </c>
      <c r="I117" s="6" t="s">
        <v>837</v>
      </c>
      <c r="J117" s="6" t="s">
        <v>838</v>
      </c>
      <c r="K117" s="6" t="s">
        <v>839</v>
      </c>
      <c r="L117" s="8" t="s">
        <v>839</v>
      </c>
      <c r="M117" s="9" t="s">
        <v>59</v>
      </c>
      <c r="N117" s="11"/>
      <c r="O117" s="8" t="s">
        <v>75</v>
      </c>
      <c r="P117" s="14"/>
      <c r="Q117" s="6"/>
    </row>
    <row r="118" ht="15.75" customHeight="1">
      <c r="A118" s="3" t="s">
        <v>840</v>
      </c>
      <c r="B118" s="3" t="s">
        <v>240</v>
      </c>
      <c r="C118" s="6" t="s">
        <v>241</v>
      </c>
      <c r="D118" s="3" t="s">
        <v>205</v>
      </c>
      <c r="E118" s="3" t="s">
        <v>228</v>
      </c>
      <c r="F118" s="6" t="s">
        <v>841</v>
      </c>
      <c r="G118" s="3" t="s">
        <v>48</v>
      </c>
      <c r="H118" s="6" t="s">
        <v>316</v>
      </c>
      <c r="I118" s="6" t="s">
        <v>842</v>
      </c>
      <c r="J118" s="6" t="s">
        <v>843</v>
      </c>
      <c r="K118" s="6" t="s">
        <v>844</v>
      </c>
      <c r="L118" s="8" t="s">
        <v>844</v>
      </c>
      <c r="M118" s="9" t="s">
        <v>59</v>
      </c>
      <c r="N118" s="11"/>
      <c r="O118" s="8" t="s">
        <v>75</v>
      </c>
      <c r="P118" s="14"/>
      <c r="Q118" s="6"/>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118"/>
  <conditionalFormatting sqref="M2:M118">
    <cfRule type="cellIs" dxfId="5" priority="1" operator="equal">
      <formula>"Pass"</formula>
    </cfRule>
  </conditionalFormatting>
  <conditionalFormatting sqref="M2:M118">
    <cfRule type="cellIs" dxfId="0" priority="2" operator="equal">
      <formula>"Fail"</formula>
    </cfRule>
  </conditionalFormatting>
  <conditionalFormatting sqref="M2:M118">
    <cfRule type="cellIs" dxfId="1" priority="3" operator="equal">
      <formula>"Blocked"</formula>
    </cfRule>
  </conditionalFormatting>
  <conditionalFormatting sqref="M2:M118">
    <cfRule type="cellIs" dxfId="4" priority="4" operator="equal">
      <formula>"Skipped"</formula>
    </cfRule>
  </conditionalFormatting>
  <conditionalFormatting sqref="E2:E118">
    <cfRule type="cellIs" dxfId="0" priority="5" operator="equal">
      <formula>"Critical"</formula>
    </cfRule>
  </conditionalFormatting>
  <conditionalFormatting sqref="E2:E118">
    <cfRule type="cellIs" dxfId="1" priority="6" operator="equal">
      <formula>"High"</formula>
    </cfRule>
  </conditionalFormatting>
  <conditionalFormatting sqref="E2:E118">
    <cfRule type="cellIs" dxfId="2" priority="7" operator="equal">
      <formula>"Medium"</formula>
    </cfRule>
  </conditionalFormatting>
  <conditionalFormatting sqref="E2:E118">
    <cfRule type="cellIs" dxfId="3" priority="8" operator="equal">
      <formula>"Low"</formula>
    </cfRule>
  </conditionalFormatting>
  <dataValidations>
    <dataValidation type="list" allowBlank="1" showErrorMessage="1" sqref="B2:B118">
      <formula1>"TS-01,TS-02,TS-03,TS-04,TS-05,TS-06,TS-07,TS-08,TS-09,TS-10,TS-11,TS-12,TS-13,TS-14,TS-15,TS-16,TS-17,TS-18"</formula1>
    </dataValidation>
    <dataValidation type="list" allowBlank="1" showErrorMessage="1" sqref="G2:G118">
      <formula1>"Positive,Negative,Boundary"</formula1>
    </dataValidation>
    <dataValidation type="list" allowBlank="1" sqref="M2:M118">
      <formula1>"Not Run,Pass,Fail,Blocked,Skipped"</formula1>
    </dataValidation>
    <dataValidation type="list" allowBlank="1" showErrorMessage="1" sqref="E2:E118">
      <formula1>"Critical,High,Medium,Low"</formula1>
    </dataValidation>
    <dataValidation type="list" allowBlank="1" showErrorMessage="1" sqref="D2:D118">
      <formula1>"FR-12,FR-13,FR-08,FR-05,FR-06,FR-07,FR-09,FR-10,FR-11,FR-14,FR-01,FR-02,FR-04,FR-03,NFR (Sec. 5)"</formula1>
    </dataValidation>
    <dataValidation type="list" allowBlank="1" showErrorMessage="1" sqref="C2:C118">
      <formula1>"Checkout,Order Confirmation,Order Total,Cart,Coupons,Delivery Fee,Registration,Login,Session,Order History,Product Catalog,Search,Sort,Category Filter,Data Persistence,Validation Feedback,Accessibility,Responsive Layout"</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0.0"/>
    <col customWidth="1" min="3" max="3" width="18.0"/>
    <col customWidth="1" min="4" max="4" width="12.0"/>
    <col customWidth="1" min="5" max="5" width="14.0"/>
    <col customWidth="1" min="6" max="6" width="12.0"/>
    <col customWidth="1" min="7" max="7" width="11.0"/>
    <col customWidth="1" min="8" max="8" width="13.0"/>
    <col customWidth="1" min="9" max="9" width="26.0"/>
    <col customWidth="1" min="10" max="10" width="30.0"/>
    <col customWidth="1" min="11" max="11" width="50.0"/>
    <col customWidth="1" min="12" max="13" width="40.0"/>
    <col customWidth="1" min="14" max="14" width="30.0"/>
    <col customWidth="1" min="15" max="15" width="14.0"/>
    <col customWidth="1" min="16" max="16" width="13.0"/>
    <col customWidth="1" min="17" max="18" width="14.0"/>
    <col customWidth="1" min="19" max="19" width="13.0"/>
    <col customWidth="1" min="20" max="20" width="32.0"/>
    <col customWidth="1" min="21" max="26" width="8.71"/>
  </cols>
  <sheetData>
    <row r="1" ht="31.5" customHeight="1">
      <c r="A1" s="1" t="s">
        <v>6</v>
      </c>
      <c r="B1" s="1" t="s">
        <v>9</v>
      </c>
      <c r="C1" s="1" t="s">
        <v>3</v>
      </c>
      <c r="D1" s="1" t="s">
        <v>4</v>
      </c>
      <c r="E1" s="4" t="s">
        <v>12</v>
      </c>
      <c r="F1" s="1" t="s">
        <v>21</v>
      </c>
      <c r="G1" s="1" t="s">
        <v>2</v>
      </c>
      <c r="H1" s="1" t="s">
        <v>26</v>
      </c>
      <c r="I1" s="1" t="s">
        <v>29</v>
      </c>
      <c r="J1" s="1" t="s">
        <v>16</v>
      </c>
      <c r="K1" s="1" t="s">
        <v>31</v>
      </c>
      <c r="L1" s="1" t="s">
        <v>22</v>
      </c>
      <c r="M1" s="1" t="s">
        <v>23</v>
      </c>
      <c r="N1" s="1" t="s">
        <v>34</v>
      </c>
      <c r="O1" s="1" t="s">
        <v>37</v>
      </c>
      <c r="P1" s="1" t="s">
        <v>38</v>
      </c>
      <c r="Q1" s="1" t="s">
        <v>40</v>
      </c>
      <c r="R1" s="1" t="s">
        <v>41</v>
      </c>
      <c r="S1" s="1" t="s">
        <v>43</v>
      </c>
      <c r="T1" s="1" t="s">
        <v>33</v>
      </c>
    </row>
    <row r="2">
      <c r="A2" s="3" t="s">
        <v>45</v>
      </c>
      <c r="B2" s="8" t="s">
        <v>46</v>
      </c>
      <c r="C2" s="8" t="s">
        <v>18</v>
      </c>
      <c r="D2" s="9" t="s">
        <v>25</v>
      </c>
      <c r="E2" s="10" t="s">
        <v>49</v>
      </c>
      <c r="F2" s="9" t="s">
        <v>54</v>
      </c>
      <c r="G2" s="9" t="s">
        <v>55</v>
      </c>
      <c r="H2" s="9" t="s">
        <v>56</v>
      </c>
      <c r="I2" s="10" t="s">
        <v>58</v>
      </c>
      <c r="J2" s="8" t="s">
        <v>60</v>
      </c>
      <c r="K2" s="8" t="s">
        <v>63</v>
      </c>
      <c r="L2" s="10" t="s">
        <v>65</v>
      </c>
      <c r="M2" s="8" t="s">
        <v>67</v>
      </c>
      <c r="N2" s="12"/>
      <c r="O2" s="12"/>
      <c r="P2" s="9" t="s">
        <v>72</v>
      </c>
      <c r="Q2" s="12"/>
      <c r="R2" s="12"/>
      <c r="S2" s="14"/>
      <c r="T2" s="12"/>
    </row>
    <row r="3">
      <c r="A3" s="3" t="s">
        <v>82</v>
      </c>
      <c r="B3" s="8" t="s">
        <v>83</v>
      </c>
      <c r="C3" s="8" t="s">
        <v>18</v>
      </c>
      <c r="D3" s="9" t="s">
        <v>25</v>
      </c>
      <c r="E3" s="9" t="s">
        <v>84</v>
      </c>
      <c r="F3" s="9" t="s">
        <v>54</v>
      </c>
      <c r="G3" s="9" t="s">
        <v>55</v>
      </c>
      <c r="H3" s="9" t="s">
        <v>56</v>
      </c>
      <c r="I3" s="8" t="s">
        <v>58</v>
      </c>
      <c r="J3" s="8" t="s">
        <v>60</v>
      </c>
      <c r="K3" s="10" t="s">
        <v>95</v>
      </c>
      <c r="L3" s="8" t="s">
        <v>96</v>
      </c>
      <c r="M3" s="8" t="s">
        <v>98</v>
      </c>
      <c r="N3" s="12"/>
      <c r="O3" s="12"/>
      <c r="P3" s="9" t="s">
        <v>72</v>
      </c>
      <c r="Q3" s="12"/>
      <c r="R3" s="12"/>
      <c r="S3" s="14"/>
      <c r="T3" s="12"/>
    </row>
    <row r="4">
      <c r="A4" s="3" t="s">
        <v>104</v>
      </c>
      <c r="B4" s="8" t="s">
        <v>105</v>
      </c>
      <c r="C4" s="8" t="s">
        <v>18</v>
      </c>
      <c r="D4" s="9" t="s">
        <v>25</v>
      </c>
      <c r="E4" s="10" t="s">
        <v>108</v>
      </c>
      <c r="F4" s="9" t="s">
        <v>54</v>
      </c>
      <c r="G4" s="9" t="s">
        <v>55</v>
      </c>
      <c r="H4" s="9" t="s">
        <v>56</v>
      </c>
      <c r="I4" s="8" t="s">
        <v>58</v>
      </c>
      <c r="J4" s="8" t="s">
        <v>60</v>
      </c>
      <c r="K4" s="8" t="s">
        <v>112</v>
      </c>
      <c r="L4" s="8" t="s">
        <v>114</v>
      </c>
      <c r="M4" s="8" t="s">
        <v>117</v>
      </c>
      <c r="N4" s="12"/>
      <c r="O4" s="12"/>
      <c r="P4" s="9" t="s">
        <v>72</v>
      </c>
      <c r="Q4" s="12"/>
      <c r="R4" s="12"/>
      <c r="S4" s="14"/>
      <c r="T4" s="12"/>
    </row>
    <row r="5">
      <c r="A5" s="3" t="s">
        <v>122</v>
      </c>
      <c r="B5" s="12"/>
      <c r="C5" s="12"/>
      <c r="D5" s="11"/>
      <c r="F5" s="11"/>
      <c r="G5" s="11"/>
      <c r="H5" s="11"/>
      <c r="I5" s="12"/>
      <c r="J5" s="12"/>
      <c r="K5" s="12"/>
      <c r="L5" s="12"/>
      <c r="M5" s="12"/>
      <c r="N5" s="12"/>
      <c r="O5" s="12"/>
      <c r="P5" s="14"/>
      <c r="Q5" s="12"/>
      <c r="R5" s="12"/>
      <c r="S5" s="14"/>
      <c r="T5" s="12"/>
    </row>
    <row r="6">
      <c r="A6" s="3" t="s">
        <v>136</v>
      </c>
      <c r="B6" s="12"/>
      <c r="C6" s="12"/>
      <c r="D6" s="11"/>
      <c r="E6" s="11"/>
      <c r="F6" s="11"/>
      <c r="G6" s="11"/>
      <c r="H6" s="11"/>
      <c r="I6" s="12"/>
      <c r="J6" s="12"/>
      <c r="K6" s="12"/>
      <c r="L6" s="12"/>
      <c r="M6" s="12"/>
      <c r="N6" s="12"/>
      <c r="O6" s="12"/>
      <c r="P6" s="14"/>
      <c r="Q6" s="12"/>
      <c r="R6" s="12"/>
      <c r="S6" s="14"/>
      <c r="T6" s="12"/>
    </row>
    <row r="7">
      <c r="A7" s="3" t="s">
        <v>145</v>
      </c>
      <c r="B7" s="12"/>
      <c r="C7" s="12"/>
      <c r="D7" s="11"/>
      <c r="E7" s="11"/>
      <c r="F7" s="11"/>
      <c r="G7" s="11"/>
      <c r="H7" s="11"/>
      <c r="I7" s="12"/>
      <c r="J7" s="12"/>
      <c r="K7" s="12"/>
      <c r="L7" s="12"/>
      <c r="M7" s="12"/>
      <c r="N7" s="12"/>
      <c r="O7" s="12"/>
      <c r="P7" s="14"/>
      <c r="Q7" s="12"/>
      <c r="R7" s="12"/>
      <c r="S7" s="14"/>
      <c r="T7" s="12"/>
    </row>
    <row r="8">
      <c r="A8" s="3" t="s">
        <v>155</v>
      </c>
      <c r="B8" s="12"/>
      <c r="C8" s="12"/>
      <c r="D8" s="11"/>
      <c r="E8" s="11"/>
      <c r="F8" s="11"/>
      <c r="G8" s="11"/>
      <c r="H8" s="11"/>
      <c r="I8" s="12"/>
      <c r="J8" s="12"/>
      <c r="K8" s="12"/>
      <c r="L8" s="12"/>
      <c r="M8" s="12"/>
      <c r="N8" s="12"/>
      <c r="O8" s="12"/>
      <c r="P8" s="14"/>
      <c r="Q8" s="12"/>
      <c r="R8" s="12"/>
      <c r="S8" s="14"/>
      <c r="T8" s="12"/>
    </row>
    <row r="9">
      <c r="A9" s="3" t="s">
        <v>160</v>
      </c>
      <c r="B9" s="12"/>
      <c r="C9" s="12"/>
      <c r="D9" s="11"/>
      <c r="E9" s="11"/>
      <c r="F9" s="11"/>
      <c r="G9" s="11"/>
      <c r="H9" s="11"/>
      <c r="I9" s="12"/>
      <c r="J9" s="12"/>
      <c r="K9" s="12"/>
      <c r="L9" s="12"/>
      <c r="M9" s="12"/>
      <c r="N9" s="12"/>
      <c r="O9" s="12"/>
      <c r="P9" s="14"/>
      <c r="Q9" s="12"/>
      <c r="R9" s="12"/>
      <c r="S9" s="14"/>
      <c r="T9" s="12"/>
    </row>
    <row r="10">
      <c r="A10" s="3" t="s">
        <v>170</v>
      </c>
      <c r="B10" s="12"/>
      <c r="C10" s="12"/>
      <c r="D10" s="11"/>
      <c r="E10" s="11"/>
      <c r="F10" s="11"/>
      <c r="G10" s="11"/>
      <c r="H10" s="11"/>
      <c r="I10" s="12"/>
      <c r="J10" s="12"/>
      <c r="K10" s="12"/>
      <c r="L10" s="12"/>
      <c r="M10" s="12"/>
      <c r="N10" s="12"/>
      <c r="O10" s="12"/>
      <c r="P10" s="14"/>
      <c r="Q10" s="12"/>
      <c r="R10" s="12"/>
      <c r="S10" s="14"/>
      <c r="T10" s="12"/>
    </row>
    <row r="11">
      <c r="A11" s="3" t="s">
        <v>177</v>
      </c>
      <c r="B11" s="12"/>
      <c r="C11" s="12"/>
      <c r="D11" s="11"/>
      <c r="E11" s="11"/>
      <c r="F11" s="11"/>
      <c r="G11" s="11"/>
      <c r="H11" s="11"/>
      <c r="I11" s="12"/>
      <c r="J11" s="12"/>
      <c r="K11" s="12"/>
      <c r="L11" s="12"/>
      <c r="M11" s="12"/>
      <c r="N11" s="12"/>
      <c r="O11" s="12"/>
      <c r="P11" s="14"/>
      <c r="Q11" s="12"/>
      <c r="R11" s="12"/>
      <c r="S11" s="14"/>
      <c r="T11" s="12"/>
    </row>
    <row r="12">
      <c r="A12" s="3" t="s">
        <v>182</v>
      </c>
      <c r="B12" s="12"/>
      <c r="C12" s="12"/>
      <c r="D12" s="11"/>
      <c r="E12" s="11"/>
      <c r="F12" s="11"/>
      <c r="G12" s="11"/>
      <c r="H12" s="11"/>
      <c r="I12" s="12"/>
      <c r="J12" s="12"/>
      <c r="K12" s="12"/>
      <c r="L12" s="12"/>
      <c r="M12" s="12"/>
      <c r="N12" s="12"/>
      <c r="O12" s="12"/>
      <c r="P12" s="14"/>
      <c r="Q12" s="12"/>
      <c r="R12" s="12"/>
      <c r="S12" s="14"/>
      <c r="T12" s="12"/>
    </row>
    <row r="13">
      <c r="A13" s="3" t="s">
        <v>185</v>
      </c>
      <c r="B13" s="12"/>
      <c r="C13" s="12"/>
      <c r="D13" s="11"/>
      <c r="E13" s="11"/>
      <c r="F13" s="11"/>
      <c r="G13" s="11"/>
      <c r="H13" s="11"/>
      <c r="I13" s="12"/>
      <c r="J13" s="12"/>
      <c r="K13" s="12"/>
      <c r="L13" s="12"/>
      <c r="M13" s="12"/>
      <c r="N13" s="12"/>
      <c r="O13" s="12"/>
      <c r="P13" s="14"/>
      <c r="Q13" s="12"/>
      <c r="R13" s="12"/>
      <c r="S13" s="14"/>
      <c r="T13" s="12"/>
    </row>
    <row r="14">
      <c r="A14" s="3" t="s">
        <v>190</v>
      </c>
      <c r="B14" s="12"/>
      <c r="C14" s="12"/>
      <c r="D14" s="11"/>
      <c r="E14" s="11"/>
      <c r="F14" s="11"/>
      <c r="G14" s="11"/>
      <c r="H14" s="11"/>
      <c r="I14" s="12"/>
      <c r="J14" s="12"/>
      <c r="K14" s="12"/>
      <c r="L14" s="12"/>
      <c r="M14" s="12"/>
      <c r="N14" s="12"/>
      <c r="O14" s="12"/>
      <c r="P14" s="14"/>
      <c r="Q14" s="12"/>
      <c r="R14" s="12"/>
      <c r="S14" s="14"/>
      <c r="T14" s="12"/>
    </row>
    <row r="15">
      <c r="A15" s="3" t="s">
        <v>197</v>
      </c>
      <c r="B15" s="12"/>
      <c r="C15" s="12"/>
      <c r="D15" s="11"/>
      <c r="E15" s="11"/>
      <c r="F15" s="11"/>
      <c r="G15" s="11"/>
      <c r="H15" s="11"/>
      <c r="I15" s="12"/>
      <c r="J15" s="12"/>
      <c r="K15" s="12"/>
      <c r="L15" s="12"/>
      <c r="M15" s="12"/>
      <c r="N15" s="12"/>
      <c r="O15" s="12"/>
      <c r="P15" s="14"/>
      <c r="Q15" s="12"/>
      <c r="R15" s="12"/>
      <c r="S15" s="14"/>
      <c r="T15" s="12"/>
    </row>
    <row r="16">
      <c r="A16" s="3" t="s">
        <v>209</v>
      </c>
      <c r="B16" s="12"/>
      <c r="C16" s="12"/>
      <c r="D16" s="11"/>
      <c r="E16" s="11"/>
      <c r="F16" s="11"/>
      <c r="G16" s="11"/>
      <c r="H16" s="11"/>
      <c r="I16" s="12"/>
      <c r="J16" s="12"/>
      <c r="K16" s="12"/>
      <c r="L16" s="12"/>
      <c r="M16" s="12"/>
      <c r="N16" s="12"/>
      <c r="O16" s="12"/>
      <c r="P16" s="14"/>
      <c r="Q16" s="12"/>
      <c r="R16" s="12"/>
      <c r="S16" s="14"/>
      <c r="T16" s="12"/>
    </row>
    <row r="17">
      <c r="A17" s="3" t="s">
        <v>218</v>
      </c>
      <c r="B17" s="12"/>
      <c r="C17" s="12"/>
      <c r="D17" s="11"/>
      <c r="E17" s="11"/>
      <c r="F17" s="11"/>
      <c r="G17" s="11"/>
      <c r="H17" s="11"/>
      <c r="I17" s="12"/>
      <c r="J17" s="12"/>
      <c r="K17" s="12"/>
      <c r="L17" s="12"/>
      <c r="M17" s="12"/>
      <c r="N17" s="12"/>
      <c r="O17" s="12"/>
      <c r="P17" s="14"/>
      <c r="Q17" s="12"/>
      <c r="R17" s="12"/>
      <c r="S17" s="14"/>
      <c r="T17" s="12"/>
    </row>
    <row r="18">
      <c r="A18" s="3" t="s">
        <v>237</v>
      </c>
      <c r="B18" s="12"/>
      <c r="C18" s="12"/>
      <c r="D18" s="11"/>
      <c r="E18" s="11"/>
      <c r="F18" s="11"/>
      <c r="G18" s="11"/>
      <c r="H18" s="11"/>
      <c r="I18" s="12"/>
      <c r="J18" s="12"/>
      <c r="K18" s="12"/>
      <c r="L18" s="12"/>
      <c r="M18" s="12"/>
      <c r="N18" s="12"/>
      <c r="O18" s="12"/>
      <c r="P18" s="14"/>
      <c r="Q18" s="12"/>
      <c r="R18" s="12"/>
      <c r="S18" s="14"/>
      <c r="T18" s="12"/>
    </row>
    <row r="19">
      <c r="A19" s="3" t="s">
        <v>249</v>
      </c>
      <c r="B19" s="12"/>
      <c r="C19" s="12"/>
      <c r="D19" s="11"/>
      <c r="E19" s="11"/>
      <c r="F19" s="11"/>
      <c r="G19" s="11"/>
      <c r="H19" s="11"/>
      <c r="I19" s="12"/>
      <c r="J19" s="12"/>
      <c r="K19" s="12"/>
      <c r="L19" s="12"/>
      <c r="M19" s="12"/>
      <c r="N19" s="12"/>
      <c r="O19" s="12"/>
      <c r="P19" s="14"/>
      <c r="Q19" s="12"/>
      <c r="R19" s="12"/>
      <c r="S19" s="14"/>
      <c r="T19" s="12"/>
    </row>
    <row r="20">
      <c r="A20" s="3" t="s">
        <v>251</v>
      </c>
      <c r="B20" s="12"/>
      <c r="C20" s="12"/>
      <c r="D20" s="11"/>
      <c r="E20" s="11"/>
      <c r="F20" s="11"/>
      <c r="G20" s="11"/>
      <c r="H20" s="11"/>
      <c r="I20" s="12"/>
      <c r="J20" s="12"/>
      <c r="K20" s="12"/>
      <c r="L20" s="12"/>
      <c r="M20" s="12"/>
      <c r="N20" s="12"/>
      <c r="O20" s="12"/>
      <c r="P20" s="14"/>
      <c r="Q20" s="12"/>
      <c r="R20" s="12"/>
      <c r="S20" s="14"/>
      <c r="T20" s="12"/>
    </row>
    <row r="21" ht="15.75" customHeight="1">
      <c r="A21" s="3" t="s">
        <v>256</v>
      </c>
      <c r="B21" s="12"/>
      <c r="C21" s="12"/>
      <c r="D21" s="11"/>
      <c r="E21" s="11"/>
      <c r="F21" s="11"/>
      <c r="G21" s="11"/>
      <c r="H21" s="11"/>
      <c r="I21" s="12"/>
      <c r="J21" s="12"/>
      <c r="K21" s="12"/>
      <c r="L21" s="12"/>
      <c r="M21" s="12"/>
      <c r="N21" s="12"/>
      <c r="O21" s="12"/>
      <c r="P21" s="14"/>
      <c r="Q21" s="12"/>
      <c r="R21" s="12"/>
      <c r="S21" s="14"/>
      <c r="T21" s="12"/>
    </row>
    <row r="22" ht="15.75" customHeight="1">
      <c r="A22" s="3" t="s">
        <v>260</v>
      </c>
      <c r="B22" s="12"/>
      <c r="C22" s="12"/>
      <c r="D22" s="11"/>
      <c r="E22" s="11"/>
      <c r="F22" s="11"/>
      <c r="G22" s="11"/>
      <c r="H22" s="11"/>
      <c r="I22" s="12"/>
      <c r="J22" s="12"/>
      <c r="K22" s="12"/>
      <c r="L22" s="12"/>
      <c r="M22" s="12"/>
      <c r="N22" s="12"/>
      <c r="O22" s="12"/>
      <c r="P22" s="14"/>
      <c r="Q22" s="12"/>
      <c r="R22" s="12"/>
      <c r="S22" s="14"/>
      <c r="T22" s="12"/>
    </row>
    <row r="23" ht="15.75" customHeight="1">
      <c r="A23" s="3" t="s">
        <v>265</v>
      </c>
      <c r="B23" s="12"/>
      <c r="C23" s="12"/>
      <c r="D23" s="11"/>
      <c r="E23" s="11"/>
      <c r="F23" s="11"/>
      <c r="G23" s="11"/>
      <c r="H23" s="11"/>
      <c r="I23" s="12"/>
      <c r="J23" s="12"/>
      <c r="K23" s="12"/>
      <c r="L23" s="12"/>
      <c r="M23" s="12"/>
      <c r="N23" s="12"/>
      <c r="O23" s="12"/>
      <c r="P23" s="14"/>
      <c r="Q23" s="12"/>
      <c r="R23" s="12"/>
      <c r="S23" s="14"/>
      <c r="T23" s="12"/>
    </row>
    <row r="24" ht="15.75" customHeight="1">
      <c r="A24" s="3" t="s">
        <v>270</v>
      </c>
      <c r="B24" s="12"/>
      <c r="C24" s="12"/>
      <c r="D24" s="11"/>
      <c r="E24" s="11"/>
      <c r="F24" s="11"/>
      <c r="G24" s="11"/>
      <c r="H24" s="11"/>
      <c r="I24" s="12"/>
      <c r="J24" s="12"/>
      <c r="K24" s="12"/>
      <c r="L24" s="12"/>
      <c r="M24" s="12"/>
      <c r="N24" s="12"/>
      <c r="O24" s="12"/>
      <c r="P24" s="14"/>
      <c r="Q24" s="12"/>
      <c r="R24" s="12"/>
      <c r="S24" s="14"/>
      <c r="T24" s="12"/>
    </row>
    <row r="25" ht="15.75" customHeight="1">
      <c r="A25" s="3" t="s">
        <v>274</v>
      </c>
      <c r="B25" s="12"/>
      <c r="C25" s="12"/>
      <c r="D25" s="11"/>
      <c r="E25" s="11"/>
      <c r="F25" s="11"/>
      <c r="G25" s="11"/>
      <c r="H25" s="11"/>
      <c r="I25" s="12"/>
      <c r="J25" s="12"/>
      <c r="K25" s="12"/>
      <c r="L25" s="12"/>
      <c r="M25" s="12"/>
      <c r="N25" s="12"/>
      <c r="O25" s="12"/>
      <c r="P25" s="14"/>
      <c r="Q25" s="12"/>
      <c r="R25" s="12"/>
      <c r="S25" s="14"/>
      <c r="T25" s="12"/>
    </row>
    <row r="26" ht="15.75" customHeight="1">
      <c r="A26" s="3" t="s">
        <v>279</v>
      </c>
      <c r="B26" s="12"/>
      <c r="C26" s="12"/>
      <c r="D26" s="11"/>
      <c r="E26" s="11"/>
      <c r="F26" s="11"/>
      <c r="G26" s="11"/>
      <c r="H26" s="11"/>
      <c r="I26" s="12"/>
      <c r="J26" s="12"/>
      <c r="K26" s="12"/>
      <c r="L26" s="12"/>
      <c r="M26" s="12"/>
      <c r="N26" s="12"/>
      <c r="O26" s="12"/>
      <c r="P26" s="14"/>
      <c r="Q26" s="12"/>
      <c r="R26" s="12"/>
      <c r="S26" s="14"/>
      <c r="T26" s="12"/>
    </row>
    <row r="27" ht="15.75" customHeight="1">
      <c r="A27" s="3" t="s">
        <v>285</v>
      </c>
      <c r="B27" s="12"/>
      <c r="C27" s="12"/>
      <c r="D27" s="11"/>
      <c r="E27" s="11"/>
      <c r="F27" s="11"/>
      <c r="G27" s="11"/>
      <c r="H27" s="11"/>
      <c r="I27" s="12"/>
      <c r="J27" s="12"/>
      <c r="K27" s="12"/>
      <c r="L27" s="12"/>
      <c r="M27" s="12"/>
      <c r="N27" s="12"/>
      <c r="O27" s="12"/>
      <c r="P27" s="14"/>
      <c r="Q27" s="12"/>
      <c r="R27" s="12"/>
      <c r="S27" s="14"/>
      <c r="T27" s="12"/>
    </row>
    <row r="28" ht="15.75" customHeight="1">
      <c r="A28" s="3" t="s">
        <v>289</v>
      </c>
      <c r="B28" s="12"/>
      <c r="C28" s="12"/>
      <c r="D28" s="11"/>
      <c r="E28" s="11"/>
      <c r="F28" s="11"/>
      <c r="G28" s="11"/>
      <c r="H28" s="11"/>
      <c r="I28" s="12"/>
      <c r="J28" s="12"/>
      <c r="K28" s="12"/>
      <c r="L28" s="12"/>
      <c r="M28" s="12"/>
      <c r="N28" s="12"/>
      <c r="O28" s="12"/>
      <c r="P28" s="14"/>
      <c r="Q28" s="12"/>
      <c r="R28" s="12"/>
      <c r="S28" s="14"/>
      <c r="T28" s="12"/>
    </row>
    <row r="29" ht="15.75" customHeight="1">
      <c r="A29" s="3" t="s">
        <v>292</v>
      </c>
      <c r="B29" s="12"/>
      <c r="C29" s="12"/>
      <c r="D29" s="11"/>
      <c r="E29" s="11"/>
      <c r="F29" s="11"/>
      <c r="G29" s="11"/>
      <c r="H29" s="11"/>
      <c r="I29" s="12"/>
      <c r="J29" s="12"/>
      <c r="K29" s="12"/>
      <c r="L29" s="12"/>
      <c r="M29" s="12"/>
      <c r="N29" s="12"/>
      <c r="O29" s="12"/>
      <c r="P29" s="14"/>
      <c r="Q29" s="12"/>
      <c r="R29" s="12"/>
      <c r="S29" s="14"/>
      <c r="T29" s="12"/>
    </row>
    <row r="30" ht="15.75" customHeight="1">
      <c r="A30" s="3" t="s">
        <v>297</v>
      </c>
      <c r="B30" s="12"/>
      <c r="C30" s="12"/>
      <c r="D30" s="11"/>
      <c r="E30" s="11"/>
      <c r="F30" s="11"/>
      <c r="G30" s="11"/>
      <c r="H30" s="11"/>
      <c r="I30" s="12"/>
      <c r="J30" s="12"/>
      <c r="K30" s="12"/>
      <c r="L30" s="12"/>
      <c r="M30" s="12"/>
      <c r="N30" s="12"/>
      <c r="O30" s="12"/>
      <c r="P30" s="14"/>
      <c r="Q30" s="12"/>
      <c r="R30" s="12"/>
      <c r="S30" s="14"/>
      <c r="T30" s="12"/>
    </row>
    <row r="31" ht="15.75" customHeight="1">
      <c r="A31" s="3" t="s">
        <v>302</v>
      </c>
      <c r="B31" s="12"/>
      <c r="C31" s="12"/>
      <c r="D31" s="11"/>
      <c r="E31" s="11"/>
      <c r="F31" s="11"/>
      <c r="G31" s="11"/>
      <c r="H31" s="11"/>
      <c r="I31" s="12"/>
      <c r="J31" s="12"/>
      <c r="K31" s="12"/>
      <c r="L31" s="12"/>
      <c r="M31" s="12"/>
      <c r="N31" s="12"/>
      <c r="O31" s="12"/>
      <c r="P31" s="14"/>
      <c r="Q31" s="12"/>
      <c r="R31" s="12"/>
      <c r="S31" s="14"/>
      <c r="T31" s="12"/>
    </row>
    <row r="32" ht="15.75" customHeight="1">
      <c r="A32" s="3" t="s">
        <v>306</v>
      </c>
      <c r="B32" s="12"/>
      <c r="C32" s="12"/>
      <c r="D32" s="11"/>
      <c r="E32" s="11"/>
      <c r="F32" s="11"/>
      <c r="G32" s="11"/>
      <c r="H32" s="11"/>
      <c r="I32" s="12"/>
      <c r="J32" s="12"/>
      <c r="K32" s="12"/>
      <c r="L32" s="12"/>
      <c r="M32" s="12"/>
      <c r="N32" s="12"/>
      <c r="O32" s="12"/>
      <c r="P32" s="14"/>
      <c r="Q32" s="12"/>
      <c r="R32" s="12"/>
      <c r="S32" s="14"/>
      <c r="T32" s="12"/>
    </row>
    <row r="33" ht="15.75" customHeight="1">
      <c r="A33" s="3" t="s">
        <v>310</v>
      </c>
      <c r="B33" s="12"/>
      <c r="C33" s="12"/>
      <c r="D33" s="11"/>
      <c r="E33" s="11"/>
      <c r="F33" s="11"/>
      <c r="G33" s="11"/>
      <c r="H33" s="11"/>
      <c r="I33" s="12"/>
      <c r="J33" s="12"/>
      <c r="K33" s="12"/>
      <c r="L33" s="12"/>
      <c r="M33" s="12"/>
      <c r="N33" s="12"/>
      <c r="O33" s="12"/>
      <c r="P33" s="14"/>
      <c r="Q33" s="12"/>
      <c r="R33" s="12"/>
      <c r="S33" s="14"/>
      <c r="T33" s="12"/>
    </row>
    <row r="34" ht="15.75" customHeight="1">
      <c r="A34" s="3" t="s">
        <v>314</v>
      </c>
      <c r="B34" s="12"/>
      <c r="C34" s="12"/>
      <c r="D34" s="11"/>
      <c r="E34" s="11"/>
      <c r="F34" s="11"/>
      <c r="G34" s="11"/>
      <c r="H34" s="11"/>
      <c r="I34" s="12"/>
      <c r="J34" s="12"/>
      <c r="K34" s="12"/>
      <c r="L34" s="12"/>
      <c r="M34" s="12"/>
      <c r="N34" s="12"/>
      <c r="O34" s="12"/>
      <c r="P34" s="14"/>
      <c r="Q34" s="12"/>
      <c r="R34" s="12"/>
      <c r="S34" s="14"/>
      <c r="T34" s="12"/>
    </row>
    <row r="35" ht="15.75" customHeight="1">
      <c r="A35" s="3" t="s">
        <v>321</v>
      </c>
      <c r="B35" s="12"/>
      <c r="C35" s="12"/>
      <c r="D35" s="11"/>
      <c r="E35" s="11"/>
      <c r="F35" s="11"/>
      <c r="G35" s="11"/>
      <c r="H35" s="11"/>
      <c r="I35" s="12"/>
      <c r="J35" s="12"/>
      <c r="K35" s="12"/>
      <c r="L35" s="12"/>
      <c r="M35" s="12"/>
      <c r="N35" s="12"/>
      <c r="O35" s="12"/>
      <c r="P35" s="14"/>
      <c r="Q35" s="12"/>
      <c r="R35" s="12"/>
      <c r="S35" s="14"/>
      <c r="T35" s="12"/>
    </row>
    <row r="36" ht="15.75" customHeight="1">
      <c r="A36" s="3" t="s">
        <v>326</v>
      </c>
      <c r="B36" s="12"/>
      <c r="C36" s="12"/>
      <c r="D36" s="11"/>
      <c r="E36" s="11"/>
      <c r="F36" s="11"/>
      <c r="G36" s="11"/>
      <c r="H36" s="11"/>
      <c r="I36" s="12"/>
      <c r="J36" s="12"/>
      <c r="K36" s="12"/>
      <c r="L36" s="12"/>
      <c r="M36" s="12"/>
      <c r="N36" s="12"/>
      <c r="O36" s="12"/>
      <c r="P36" s="14"/>
      <c r="Q36" s="12"/>
      <c r="R36" s="12"/>
      <c r="S36" s="14"/>
      <c r="T36" s="12"/>
    </row>
    <row r="37" ht="15.75" customHeight="1">
      <c r="A37" s="3" t="s">
        <v>329</v>
      </c>
      <c r="B37" s="12"/>
      <c r="C37" s="12"/>
      <c r="D37" s="11"/>
      <c r="E37" s="11"/>
      <c r="F37" s="11"/>
      <c r="G37" s="11"/>
      <c r="H37" s="11"/>
      <c r="I37" s="12"/>
      <c r="J37" s="12"/>
      <c r="K37" s="12"/>
      <c r="L37" s="12"/>
      <c r="M37" s="12"/>
      <c r="N37" s="12"/>
      <c r="O37" s="12"/>
      <c r="P37" s="14"/>
      <c r="Q37" s="12"/>
      <c r="R37" s="12"/>
      <c r="S37" s="14"/>
      <c r="T37" s="12"/>
    </row>
    <row r="38" ht="15.75" customHeight="1">
      <c r="A38" s="3" t="s">
        <v>334</v>
      </c>
      <c r="B38" s="12"/>
      <c r="C38" s="12"/>
      <c r="D38" s="11"/>
      <c r="E38" s="11"/>
      <c r="F38" s="11"/>
      <c r="G38" s="11"/>
      <c r="H38" s="11"/>
      <c r="I38" s="12"/>
      <c r="J38" s="12"/>
      <c r="K38" s="12"/>
      <c r="L38" s="12"/>
      <c r="M38" s="12"/>
      <c r="N38" s="12"/>
      <c r="O38" s="12"/>
      <c r="P38" s="14"/>
      <c r="Q38" s="12"/>
      <c r="R38" s="12"/>
      <c r="S38" s="14"/>
      <c r="T38" s="12"/>
    </row>
    <row r="39" ht="15.75" customHeight="1">
      <c r="A39" s="3" t="s">
        <v>339</v>
      </c>
      <c r="B39" s="12"/>
      <c r="C39" s="12"/>
      <c r="D39" s="11"/>
      <c r="E39" s="11"/>
      <c r="F39" s="11"/>
      <c r="G39" s="11"/>
      <c r="H39" s="11"/>
      <c r="I39" s="12"/>
      <c r="J39" s="12"/>
      <c r="K39" s="12"/>
      <c r="L39" s="12"/>
      <c r="M39" s="12"/>
      <c r="N39" s="12"/>
      <c r="O39" s="12"/>
      <c r="P39" s="14"/>
      <c r="Q39" s="12"/>
      <c r="R39" s="12"/>
      <c r="S39" s="14"/>
      <c r="T39" s="12"/>
    </row>
    <row r="40" ht="15.75" customHeight="1">
      <c r="A40" s="3" t="s">
        <v>341</v>
      </c>
      <c r="B40" s="12"/>
      <c r="C40" s="12"/>
      <c r="D40" s="11"/>
      <c r="E40" s="11"/>
      <c r="F40" s="11"/>
      <c r="G40" s="11"/>
      <c r="H40" s="11"/>
      <c r="I40" s="12"/>
      <c r="J40" s="12"/>
      <c r="K40" s="12"/>
      <c r="L40" s="12"/>
      <c r="M40" s="12"/>
      <c r="N40" s="12"/>
      <c r="O40" s="12"/>
      <c r="P40" s="14"/>
      <c r="Q40" s="12"/>
      <c r="R40" s="12"/>
      <c r="S40" s="14"/>
      <c r="T40" s="12"/>
    </row>
    <row r="41" ht="15.75" customHeight="1">
      <c r="A41" s="3" t="s">
        <v>346</v>
      </c>
      <c r="B41" s="12"/>
      <c r="C41" s="12"/>
      <c r="D41" s="11"/>
      <c r="E41" s="11"/>
      <c r="F41" s="11"/>
      <c r="G41" s="11"/>
      <c r="H41" s="11"/>
      <c r="I41" s="12"/>
      <c r="J41" s="12"/>
      <c r="K41" s="12"/>
      <c r="L41" s="12"/>
      <c r="M41" s="12"/>
      <c r="N41" s="12"/>
      <c r="O41" s="12"/>
      <c r="P41" s="14"/>
      <c r="Q41" s="12"/>
      <c r="R41" s="12"/>
      <c r="S41" s="14"/>
      <c r="T41" s="12"/>
    </row>
    <row r="42" ht="15.75" customHeight="1">
      <c r="A42" s="3" t="s">
        <v>349</v>
      </c>
      <c r="B42" s="12"/>
      <c r="C42" s="12"/>
      <c r="D42" s="11"/>
      <c r="E42" s="11"/>
      <c r="F42" s="11"/>
      <c r="G42" s="11"/>
      <c r="H42" s="11"/>
      <c r="I42" s="12"/>
      <c r="J42" s="12"/>
      <c r="K42" s="12"/>
      <c r="L42" s="12"/>
      <c r="M42" s="12"/>
      <c r="N42" s="12"/>
      <c r="O42" s="12"/>
      <c r="P42" s="14"/>
      <c r="Q42" s="12"/>
      <c r="R42" s="12"/>
      <c r="S42" s="14"/>
      <c r="T42" s="12"/>
    </row>
    <row r="43" ht="15.75" customHeight="1">
      <c r="A43" s="3" t="s">
        <v>352</v>
      </c>
      <c r="B43" s="12"/>
      <c r="C43" s="12"/>
      <c r="D43" s="11"/>
      <c r="E43" s="11"/>
      <c r="F43" s="11"/>
      <c r="G43" s="11"/>
      <c r="H43" s="11"/>
      <c r="I43" s="12"/>
      <c r="J43" s="12"/>
      <c r="K43" s="12"/>
      <c r="L43" s="12"/>
      <c r="M43" s="12"/>
      <c r="N43" s="12"/>
      <c r="O43" s="12"/>
      <c r="P43" s="14"/>
      <c r="Q43" s="12"/>
      <c r="R43" s="12"/>
      <c r="S43" s="14"/>
      <c r="T43" s="12"/>
    </row>
    <row r="44" ht="15.75" customHeight="1">
      <c r="A44" s="3" t="s">
        <v>354</v>
      </c>
      <c r="B44" s="12"/>
      <c r="C44" s="12"/>
      <c r="D44" s="11"/>
      <c r="E44" s="11"/>
      <c r="F44" s="11"/>
      <c r="G44" s="11"/>
      <c r="H44" s="11"/>
      <c r="I44" s="12"/>
      <c r="J44" s="12"/>
      <c r="K44" s="12"/>
      <c r="L44" s="12"/>
      <c r="M44" s="12"/>
      <c r="N44" s="12"/>
      <c r="O44" s="12"/>
      <c r="P44" s="14"/>
      <c r="Q44" s="12"/>
      <c r="R44" s="12"/>
      <c r="S44" s="14"/>
      <c r="T44" s="12"/>
    </row>
    <row r="45" ht="15.75" customHeight="1">
      <c r="A45" s="3" t="s">
        <v>359</v>
      </c>
      <c r="B45" s="12"/>
      <c r="C45" s="12"/>
      <c r="D45" s="11"/>
      <c r="E45" s="11"/>
      <c r="F45" s="11"/>
      <c r="G45" s="11"/>
      <c r="H45" s="11"/>
      <c r="I45" s="12"/>
      <c r="J45" s="12"/>
      <c r="K45" s="12"/>
      <c r="L45" s="12"/>
      <c r="M45" s="12"/>
      <c r="N45" s="12"/>
      <c r="O45" s="12"/>
      <c r="P45" s="14"/>
      <c r="Q45" s="12"/>
      <c r="R45" s="12"/>
      <c r="S45" s="14"/>
      <c r="T45" s="12"/>
    </row>
    <row r="46" ht="15.75" customHeight="1">
      <c r="A46" s="3" t="s">
        <v>362</v>
      </c>
      <c r="B46" s="12"/>
      <c r="C46" s="12"/>
      <c r="D46" s="11"/>
      <c r="E46" s="11"/>
      <c r="F46" s="11"/>
      <c r="G46" s="11"/>
      <c r="H46" s="11"/>
      <c r="I46" s="12"/>
      <c r="J46" s="12"/>
      <c r="K46" s="12"/>
      <c r="L46" s="12"/>
      <c r="M46" s="12"/>
      <c r="N46" s="12"/>
      <c r="O46" s="12"/>
      <c r="P46" s="14"/>
      <c r="Q46" s="12"/>
      <c r="R46" s="12"/>
      <c r="S46" s="14"/>
      <c r="T46" s="12"/>
    </row>
    <row r="47" ht="15.75" customHeight="1">
      <c r="A47" s="3" t="s">
        <v>367</v>
      </c>
      <c r="B47" s="12"/>
      <c r="C47" s="12"/>
      <c r="D47" s="11"/>
      <c r="E47" s="11"/>
      <c r="F47" s="11"/>
      <c r="G47" s="11"/>
      <c r="H47" s="11"/>
      <c r="I47" s="12"/>
      <c r="J47" s="12"/>
      <c r="K47" s="12"/>
      <c r="L47" s="12"/>
      <c r="M47" s="12"/>
      <c r="N47" s="12"/>
      <c r="O47" s="12"/>
      <c r="P47" s="14"/>
      <c r="Q47" s="12"/>
      <c r="R47" s="12"/>
      <c r="S47" s="14"/>
      <c r="T47" s="12"/>
    </row>
    <row r="48" ht="15.75" customHeight="1">
      <c r="A48" s="3" t="s">
        <v>372</v>
      </c>
      <c r="B48" s="12"/>
      <c r="C48" s="12"/>
      <c r="D48" s="11"/>
      <c r="E48" s="11"/>
      <c r="F48" s="11"/>
      <c r="G48" s="11"/>
      <c r="H48" s="11"/>
      <c r="I48" s="12"/>
      <c r="J48" s="12"/>
      <c r="K48" s="12"/>
      <c r="L48" s="12"/>
      <c r="M48" s="12"/>
      <c r="N48" s="12"/>
      <c r="O48" s="12"/>
      <c r="P48" s="14"/>
      <c r="Q48" s="12"/>
      <c r="R48" s="12"/>
      <c r="S48" s="14"/>
      <c r="T48" s="12"/>
    </row>
    <row r="49" ht="15.75" customHeight="1">
      <c r="A49" s="3" t="s">
        <v>374</v>
      </c>
      <c r="B49" s="12"/>
      <c r="C49" s="12"/>
      <c r="D49" s="11"/>
      <c r="E49" s="11"/>
      <c r="F49" s="11"/>
      <c r="G49" s="11"/>
      <c r="H49" s="11"/>
      <c r="I49" s="12"/>
      <c r="J49" s="12"/>
      <c r="K49" s="12"/>
      <c r="L49" s="12"/>
      <c r="M49" s="12"/>
      <c r="N49" s="12"/>
      <c r="O49" s="12"/>
      <c r="P49" s="14"/>
      <c r="Q49" s="12"/>
      <c r="R49" s="12"/>
      <c r="S49" s="14"/>
      <c r="T49" s="12"/>
    </row>
    <row r="50" ht="15.75" customHeight="1">
      <c r="A50" s="3" t="s">
        <v>379</v>
      </c>
      <c r="B50" s="12"/>
      <c r="C50" s="12"/>
      <c r="D50" s="11"/>
      <c r="E50" s="11"/>
      <c r="F50" s="11"/>
      <c r="G50" s="11"/>
      <c r="H50" s="11"/>
      <c r="I50" s="12"/>
      <c r="J50" s="12"/>
      <c r="K50" s="12"/>
      <c r="L50" s="12"/>
      <c r="M50" s="12"/>
      <c r="N50" s="12"/>
      <c r="O50" s="12"/>
      <c r="P50" s="14"/>
      <c r="Q50" s="12"/>
      <c r="R50" s="12"/>
      <c r="S50" s="14"/>
      <c r="T50" s="12"/>
    </row>
    <row r="51" ht="15.75" customHeight="1">
      <c r="A51" s="3" t="s">
        <v>385</v>
      </c>
      <c r="B51" s="12"/>
      <c r="C51" s="12"/>
      <c r="D51" s="11"/>
      <c r="E51" s="11"/>
      <c r="F51" s="11"/>
      <c r="G51" s="11"/>
      <c r="H51" s="11"/>
      <c r="I51" s="12"/>
      <c r="J51" s="12"/>
      <c r="K51" s="12"/>
      <c r="L51" s="12"/>
      <c r="M51" s="12"/>
      <c r="N51" s="12"/>
      <c r="O51" s="12"/>
      <c r="P51" s="14"/>
      <c r="Q51" s="12"/>
      <c r="R51" s="12"/>
      <c r="S51" s="14"/>
      <c r="T51" s="12"/>
    </row>
    <row r="52" ht="15.75" customHeight="1">
      <c r="A52" s="3" t="s">
        <v>388</v>
      </c>
      <c r="B52" s="12"/>
      <c r="C52" s="12"/>
      <c r="D52" s="11"/>
      <c r="E52" s="11"/>
      <c r="F52" s="11"/>
      <c r="G52" s="11"/>
      <c r="H52" s="11"/>
      <c r="I52" s="12"/>
      <c r="J52" s="12"/>
      <c r="K52" s="12"/>
      <c r="L52" s="12"/>
      <c r="M52" s="12"/>
      <c r="N52" s="12"/>
      <c r="O52" s="12"/>
      <c r="P52" s="14"/>
      <c r="Q52" s="12"/>
      <c r="R52" s="12"/>
      <c r="S52" s="14"/>
      <c r="T52" s="12"/>
    </row>
    <row r="53" ht="15.75" customHeight="1">
      <c r="A53" s="3" t="s">
        <v>395</v>
      </c>
      <c r="B53" s="12"/>
      <c r="C53" s="12"/>
      <c r="D53" s="11"/>
      <c r="E53" s="11"/>
      <c r="F53" s="11"/>
      <c r="G53" s="11"/>
      <c r="H53" s="11"/>
      <c r="I53" s="12"/>
      <c r="J53" s="12"/>
      <c r="K53" s="12"/>
      <c r="L53" s="12"/>
      <c r="M53" s="12"/>
      <c r="N53" s="12"/>
      <c r="O53" s="12"/>
      <c r="P53" s="14"/>
      <c r="Q53" s="12"/>
      <c r="R53" s="12"/>
      <c r="S53" s="14"/>
      <c r="T53" s="12"/>
    </row>
    <row r="54" ht="15.75" customHeight="1">
      <c r="A54" s="3" t="s">
        <v>400</v>
      </c>
      <c r="B54" s="12"/>
      <c r="C54" s="12"/>
      <c r="D54" s="11"/>
      <c r="E54" s="11"/>
      <c r="F54" s="11"/>
      <c r="G54" s="11"/>
      <c r="H54" s="11"/>
      <c r="I54" s="12"/>
      <c r="J54" s="12"/>
      <c r="K54" s="12"/>
      <c r="L54" s="12"/>
      <c r="M54" s="12"/>
      <c r="N54" s="12"/>
      <c r="O54" s="12"/>
      <c r="P54" s="14"/>
      <c r="Q54" s="12"/>
      <c r="R54" s="12"/>
      <c r="S54" s="14"/>
      <c r="T54" s="12"/>
    </row>
    <row r="55" ht="15.75" customHeight="1">
      <c r="A55" s="3" t="s">
        <v>406</v>
      </c>
      <c r="B55" s="12"/>
      <c r="C55" s="12"/>
      <c r="D55" s="11"/>
      <c r="E55" s="11"/>
      <c r="F55" s="11"/>
      <c r="G55" s="11"/>
      <c r="H55" s="11"/>
      <c r="I55" s="12"/>
      <c r="J55" s="12"/>
      <c r="K55" s="12"/>
      <c r="L55" s="12"/>
      <c r="M55" s="12"/>
      <c r="N55" s="12"/>
      <c r="O55" s="12"/>
      <c r="P55" s="14"/>
      <c r="Q55" s="12"/>
      <c r="R55" s="12"/>
      <c r="S55" s="14"/>
      <c r="T55" s="12"/>
    </row>
    <row r="56" ht="15.75" customHeight="1">
      <c r="A56" s="3" t="s">
        <v>413</v>
      </c>
      <c r="B56" s="12"/>
      <c r="C56" s="12"/>
      <c r="D56" s="11"/>
      <c r="E56" s="11"/>
      <c r="F56" s="11"/>
      <c r="G56" s="11"/>
      <c r="H56" s="11"/>
      <c r="I56" s="12"/>
      <c r="J56" s="12"/>
      <c r="K56" s="12"/>
      <c r="L56" s="12"/>
      <c r="M56" s="12"/>
      <c r="N56" s="12"/>
      <c r="O56" s="12"/>
      <c r="P56" s="14"/>
      <c r="Q56" s="12"/>
      <c r="R56" s="12"/>
      <c r="S56" s="14"/>
      <c r="T56" s="12"/>
    </row>
    <row r="57" ht="15.75" customHeight="1">
      <c r="A57" s="3" t="s">
        <v>419</v>
      </c>
      <c r="B57" s="12"/>
      <c r="C57" s="12"/>
      <c r="D57" s="11"/>
      <c r="E57" s="11"/>
      <c r="F57" s="11"/>
      <c r="G57" s="11"/>
      <c r="H57" s="11"/>
      <c r="I57" s="12"/>
      <c r="J57" s="12"/>
      <c r="K57" s="12"/>
      <c r="L57" s="12"/>
      <c r="M57" s="12"/>
      <c r="N57" s="12"/>
      <c r="O57" s="12"/>
      <c r="P57" s="14"/>
      <c r="Q57" s="12"/>
      <c r="R57" s="12"/>
      <c r="S57" s="14"/>
      <c r="T57" s="12"/>
    </row>
    <row r="58" ht="15.75" customHeight="1">
      <c r="A58" s="3" t="s">
        <v>420</v>
      </c>
      <c r="B58" s="12"/>
      <c r="C58" s="12"/>
      <c r="D58" s="11"/>
      <c r="E58" s="11"/>
      <c r="F58" s="11"/>
      <c r="G58" s="11"/>
      <c r="H58" s="11"/>
      <c r="I58" s="12"/>
      <c r="J58" s="12"/>
      <c r="K58" s="12"/>
      <c r="L58" s="12"/>
      <c r="M58" s="12"/>
      <c r="N58" s="12"/>
      <c r="O58" s="12"/>
      <c r="P58" s="14"/>
      <c r="Q58" s="12"/>
      <c r="R58" s="12"/>
      <c r="S58" s="14"/>
      <c r="T58" s="12"/>
    </row>
    <row r="59" ht="15.75" customHeight="1">
      <c r="A59" s="3" t="s">
        <v>424</v>
      </c>
      <c r="B59" s="12"/>
      <c r="C59" s="12"/>
      <c r="D59" s="11"/>
      <c r="E59" s="11"/>
      <c r="F59" s="11"/>
      <c r="G59" s="11"/>
      <c r="H59" s="11"/>
      <c r="I59" s="12"/>
      <c r="J59" s="12"/>
      <c r="K59" s="12"/>
      <c r="L59" s="12"/>
      <c r="M59" s="12"/>
      <c r="N59" s="12"/>
      <c r="O59" s="12"/>
      <c r="P59" s="14"/>
      <c r="Q59" s="12"/>
      <c r="R59" s="12"/>
      <c r="S59" s="14"/>
      <c r="T59" s="12"/>
    </row>
    <row r="60" ht="15.75" customHeight="1">
      <c r="A60" s="3" t="s">
        <v>428</v>
      </c>
      <c r="B60" s="12"/>
      <c r="C60" s="12"/>
      <c r="D60" s="11"/>
      <c r="E60" s="11"/>
      <c r="F60" s="11"/>
      <c r="G60" s="11"/>
      <c r="H60" s="11"/>
      <c r="I60" s="12"/>
      <c r="J60" s="12"/>
      <c r="K60" s="12"/>
      <c r="L60" s="12"/>
      <c r="M60" s="12"/>
      <c r="N60" s="12"/>
      <c r="O60" s="12"/>
      <c r="P60" s="14"/>
      <c r="Q60" s="12"/>
      <c r="R60" s="12"/>
      <c r="S60" s="14"/>
      <c r="T60" s="12"/>
    </row>
    <row r="61" ht="15.75" customHeight="1">
      <c r="A61" s="3" t="s">
        <v>433</v>
      </c>
      <c r="B61" s="12"/>
      <c r="C61" s="12"/>
      <c r="D61" s="11"/>
      <c r="E61" s="11"/>
      <c r="F61" s="11"/>
      <c r="G61" s="11"/>
      <c r="H61" s="11"/>
      <c r="I61" s="12"/>
      <c r="J61" s="12"/>
      <c r="K61" s="12"/>
      <c r="L61" s="12"/>
      <c r="M61" s="12"/>
      <c r="N61" s="12"/>
      <c r="O61" s="12"/>
      <c r="P61" s="14"/>
      <c r="Q61" s="12"/>
      <c r="R61" s="12"/>
      <c r="S61" s="14"/>
      <c r="T61" s="12"/>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61"/>
  <conditionalFormatting sqref="F2:F61">
    <cfRule type="cellIs" dxfId="0" priority="1" operator="equal">
      <formula>"Critical"</formula>
    </cfRule>
  </conditionalFormatting>
  <conditionalFormatting sqref="F2:F61">
    <cfRule type="cellIs" dxfId="1" priority="2" operator="equal">
      <formula>"Major"</formula>
    </cfRule>
  </conditionalFormatting>
  <conditionalFormatting sqref="F2:F61">
    <cfRule type="cellIs" dxfId="2" priority="3" operator="equal">
      <formula>"Minor"</formula>
    </cfRule>
  </conditionalFormatting>
  <conditionalFormatting sqref="F2:F61">
    <cfRule type="cellIs" dxfId="4" priority="4" operator="equal">
      <formula>"Trivial"</formula>
    </cfRule>
  </conditionalFormatting>
  <dataValidations>
    <dataValidation type="list" allowBlank="1" sqref="H2:H61">
      <formula1>"New,Open,In Progress,Fixed,Ready for Retest,Closed,Reopened,Rejected,Deferred"</formula1>
    </dataValidation>
    <dataValidation type="list" allowBlank="1" sqref="F2:F61">
      <formula1>"Critical,Major,Minor,Trivial"</formula1>
    </dataValidation>
    <dataValidation type="list" allowBlank="1" sqref="R2:R61">
      <formula1>"Pass,Fail"</formula1>
    </dataValidation>
    <dataValidation type="list" allowBlank="1" sqref="G2:G61">
      <formula1>"High,Medium,Low"</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26" width="8.71"/>
  </cols>
  <sheetData>
    <row r="1">
      <c r="A1" s="2" t="s">
        <v>10</v>
      </c>
    </row>
    <row r="2">
      <c r="A2" s="5" t="s">
        <v>17</v>
      </c>
      <c r="B2" s="7" t="s">
        <v>24</v>
      </c>
    </row>
    <row r="3">
      <c r="A3" s="5" t="s">
        <v>36</v>
      </c>
      <c r="B3" s="7" t="s">
        <v>39</v>
      </c>
    </row>
    <row r="5">
      <c r="A5" s="2" t="s">
        <v>42</v>
      </c>
    </row>
    <row r="6">
      <c r="A6" s="5" t="s">
        <v>44</v>
      </c>
      <c r="B6" s="13">
        <f>COUNTA('Test Cases'!A2:A118)</f>
        <v>117</v>
      </c>
    </row>
    <row r="7">
      <c r="A7" s="5" t="s">
        <v>74</v>
      </c>
      <c r="B7" s="13">
        <f>COUNTIF('Test Cases'!M2:M118,"Not Run")</f>
        <v>0</v>
      </c>
    </row>
    <row r="8">
      <c r="A8" s="5" t="s">
        <v>59</v>
      </c>
      <c r="B8" s="13">
        <f>COUNTIF('Test Cases'!M2:M118,"Pass")</f>
        <v>97</v>
      </c>
    </row>
    <row r="9">
      <c r="A9" s="5" t="s">
        <v>107</v>
      </c>
      <c r="B9" s="13">
        <f>COUNTIF('Test Cases'!M2:M118,"Fail")</f>
        <v>20</v>
      </c>
    </row>
    <row r="10">
      <c r="A10" s="5" t="s">
        <v>121</v>
      </c>
      <c r="B10" s="13">
        <f>COUNTIF('Test Cases'!M2:M118,"Blocked")</f>
        <v>0</v>
      </c>
    </row>
    <row r="11">
      <c r="A11" s="5" t="s">
        <v>130</v>
      </c>
      <c r="B11" s="13">
        <f>COUNTIF('Test Cases'!M2:M118,"Skipped")</f>
        <v>0</v>
      </c>
    </row>
    <row r="12">
      <c r="A12" s="5" t="s">
        <v>141</v>
      </c>
      <c r="B12" s="15">
        <f>IFERROR(B8/(B8+B9+B10),"No cases executed yet")</f>
        <v>0.8290598291</v>
      </c>
    </row>
    <row r="13">
      <c r="A13" s="5" t="s">
        <v>184</v>
      </c>
      <c r="B13" s="13">
        <f>COUNTA('Bug Report'!B2:B61)</f>
        <v>3</v>
      </c>
    </row>
    <row r="14">
      <c r="A14" s="5" t="s">
        <v>193</v>
      </c>
      <c r="B14" s="13">
        <f>COUNTIFS('Bug Report'!B2:B61,"&lt;&gt;",'Bug Report'!H2:H61,"&lt;&gt;Closed",'Bug Report'!H2:H61,"&lt;&gt;Rejected")</f>
        <v>3</v>
      </c>
    </row>
    <row r="16">
      <c r="A16" s="2"/>
    </row>
    <row r="17">
      <c r="A17" s="5"/>
      <c r="B17" s="7"/>
    </row>
    <row r="18">
      <c r="A18" s="5"/>
      <c r="B18" s="7"/>
    </row>
    <row r="19">
      <c r="A19" s="5"/>
      <c r="B19" s="7"/>
    </row>
    <row r="20">
      <c r="A20" s="5"/>
      <c r="B20" s="7"/>
    </row>
    <row r="21" ht="15.75" customHeight="1">
      <c r="A21" s="5"/>
      <c r="B21" s="7"/>
    </row>
    <row r="22" ht="15.75" customHeight="1"/>
    <row r="23" ht="15.75" customHeight="1">
      <c r="A23" s="2" t="s">
        <v>213</v>
      </c>
    </row>
    <row r="24" ht="15.75" customHeight="1">
      <c r="A24" s="5" t="s">
        <v>15</v>
      </c>
      <c r="B24" s="7" t="s">
        <v>216</v>
      </c>
    </row>
    <row r="25" ht="15.75" customHeight="1">
      <c r="A25" s="5" t="s">
        <v>54</v>
      </c>
      <c r="B25" s="7" t="s">
        <v>219</v>
      </c>
    </row>
    <row r="26" ht="15.75" customHeight="1">
      <c r="A26" s="5" t="s">
        <v>220</v>
      </c>
      <c r="B26" s="7" t="s">
        <v>221</v>
      </c>
    </row>
    <row r="27" ht="15.75" customHeight="1">
      <c r="A27" s="5" t="s">
        <v>222</v>
      </c>
      <c r="B27" s="7" t="s">
        <v>223</v>
      </c>
    </row>
    <row r="28" ht="15.75" customHeight="1"/>
    <row r="29" ht="15.75" customHeight="1">
      <c r="A29" s="2" t="s">
        <v>224</v>
      </c>
    </row>
    <row r="30" ht="15.75" customHeight="1">
      <c r="A30" s="5" t="s">
        <v>55</v>
      </c>
      <c r="B30" s="7" t="s">
        <v>227</v>
      </c>
    </row>
    <row r="31" ht="15.75" customHeight="1">
      <c r="A31" s="5" t="s">
        <v>153</v>
      </c>
      <c r="B31" s="7" t="s">
        <v>231</v>
      </c>
    </row>
    <row r="32" ht="15.75" customHeight="1">
      <c r="A32" s="5" t="s">
        <v>228</v>
      </c>
      <c r="B32" s="7" t="s">
        <v>236</v>
      </c>
    </row>
    <row r="33" ht="15.75" customHeight="1"/>
    <row r="34" ht="15.75" customHeight="1">
      <c r="A34" s="2"/>
    </row>
    <row r="35" ht="15.75" customHeight="1">
      <c r="A35" s="5"/>
      <c r="B35" s="7"/>
    </row>
    <row r="36" ht="15.75" customHeight="1"/>
    <row r="37" ht="15.75" customHeight="1">
      <c r="A37" s="5" t="s">
        <v>238</v>
      </c>
      <c r="B37" s="7" t="s">
        <v>239</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2026-09-28T13:36:05Z</dcterms:created>
  <dc:creator>openpyxl</dc:creator>
</cp:coreProperties>
</file>

<file path=docProps/custom.xml><?xml version="1.0" encoding="utf-8"?>
<Properties xmlns="http://schemas.openxmlformats.org/officeDocument/2006/custom-properties" xmlns:vt="http://schemas.openxmlformats.org/officeDocument/2006/docPropsVTypes"/>
</file>